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Danh mục API" state="visible" r:id="rId5"/>
    <sheet sheetId="3" name="WBS chi tiết" state="visible" r:id="rId6"/>
    <sheet sheetId="4" name="Gantt" state="visible" r:id="rId7"/>
    <sheet sheetId="5" name="Nguồn lực theo tuần" state="visible" r:id="rId8"/>
    <sheet sheetId="6" name="RACI theo SOW" state="visible" r:id="rId9"/>
    <sheet sheetId="7" name="Kế hoạch test" state="visible" r:id="rId10"/>
    <sheet sheetId="8" name="Logging &amp; Bảo mật" state="visible" r:id="rId11"/>
    <sheet sheetId="9" name="Tài liệu bàn giao" state="visible" r:id="rId12"/>
    <sheet sheetId="10" name="Rủi ro &amp; Open point" state="visible" r:id="rId13"/>
    <sheet sheetId="11" name="Chi phí &amp; Đóng góp Tuấn" state="visible" r:id="rId14"/>
  </sheets>
  <calcPr calcId="171027"/>
</workbook>
</file>

<file path=xl/sharedStrings.xml><?xml version="1.0" encoding="utf-8"?>
<sst xmlns="http://schemas.openxmlformats.org/spreadsheetml/2006/main" count="4577" uniqueCount="1382">
  <si>
    <t>KẾ HOẠCH TRIỂN KHAI API TÍCH HỢP RDM ↔ SAP ECC 6.0 – 40 NGÀY</t>
  </si>
  <si>
    <t>Nguồn: Tafico_RDM-SAP_API_Business_Scope_v1.1 – sheet "Phạm vi - Scope" (24 đối tượng: 21 API + 3 Z-Report). Phiên bản kế hoạch v1.0 – lập ngày 28/10/2026</t>
  </si>
  <si>
    <t>Thời gian</t>
  </si>
  <si>
    <t>29/10/2026 → 07/12/2026 (40 ngày lịch = 28 ngày làm việc T2–T6 + 6 thứ Bảy dự phòng/OT cho Tuấn &amp; Nam)</t>
  </si>
  <si>
    <t>Kiến trúc</t>
  </si>
  <si>
    <t>REST API (ASP.NET Core .NET 8) – xác thực JWT (role + phạm vi dữ liệu theo đối tác) – SAP NCo 3.1 – SQL Server (ghi qua stored procedure) – Hangfire job nền</t>
  </si>
  <si>
    <t>Logging</t>
  </si>
  <si>
    <t>Phía API: Serilog + Correlation-Id + rdm.SapCallLog. Phía SAP (bổ sung): bảng ZRDM_API_LOG/ZRDM_API_LOGI + Application Log SLG1 (object ZRDM) + report ZRDM_LOG_VIEW; Correlation-Id truyền từ API xuống mọi FM</t>
  </si>
  <si>
    <t>Nguyên tắc API</t>
  </si>
  <si>
    <t>Mỗi đối tượng × hành động = 1 API riêng (không gộp API tổng). Tổng 112 API – xem sheet "Danh mục API"</t>
  </si>
  <si>
    <t>Test &amp; tài liệu</t>
  </si>
  <si>
    <t>Unit test (xUnit), integration DEV930, test theo nhóm A/B/C/D, SIT, hiệu năng, bảo mật, UAT. Tài liệu: BRD/mapping, SAD, API guide, TS ABAP, FS báo cáo, user guide, runbook</t>
  </si>
  <si>
    <t>Phân bổ chủ đạo</t>
  </si>
  <si>
    <t>Tuấn + Nam ≈ 68–70% công (API, ABAP FM, logging); Khang: 3 báo cáo Z (014, 017, 023) + RFC đọc kết quả báo cáo; Hằng: tư vấn spec giá &amp; khuyến mại (SD); Sơn: tư vấn spec 3 báo cáo + bút toán FI</t>
  </si>
  <si>
    <t>Chi phí</t>
  </si>
  <si>
    <t>Ngân sách 195 triệu VNĐ: Nam 140 · Khang 30 · Hằng 15 · Sơn 10 – Tuấn không tính phí. Phân tích đóng góp của Tuấn và chi phí nếu không có Tuấn: sheet "Chi phí &amp; Đóng góp Tuấn"</t>
  </si>
  <si>
    <t>PHÂN BỔ NGUỒN LỰC</t>
  </si>
  <si>
    <t>Thành viên</t>
  </si>
  <si>
    <t>Vai trò</t>
  </si>
  <si>
    <t>Công (ngày)</t>
  </si>
  <si>
    <t>Tỷ trọng</t>
  </si>
  <si>
    <t>Năng lực T2–T6</t>
  </si>
  <si>
    <t>% sử dụng</t>
  </si>
  <si>
    <t>Trách nhiệm chính</t>
  </si>
  <si>
    <t>Tuấn</t>
  </si>
  <si>
    <t>SA / ABAP / BA</t>
  </si>
  <si>
    <t>SA/BA: kiến trúc, JWT, logging API, mapping, ~95 API .NET, unit/SIT/UAT, tài liệu API &amp; vận hành</t>
  </si>
  <si>
    <t>Nam</t>
  </si>
  <si>
    <t>ABAP / Techlead</t>
  </si>
  <si>
    <t>Techlead ABAP: logging SAP, FM RFC (giá, HĐ, free-bag, sản lượng, credit memo, khung FI), API hạch toán 016/019/020, transport, review code</t>
  </si>
  <si>
    <t>Khang</t>
  </si>
  <si>
    <t>ABAP</t>
  </si>
  <si>
    <t>3 Z-Report (EPD, lãi quá hạn, đối chiếu công nợ) + RFC đọc kết quả 015/018, TS báo cáo</t>
  </si>
  <si>
    <t>Sơn</t>
  </si>
  <si>
    <t>FICO consultant</t>
  </si>
  <si>
    <t>Spec 3 báo cáo + ma trận bút toán FI, duyệt test case FI, SIT/UAT FI, user guide FI</t>
  </si>
  <si>
    <t>Hằng</t>
  </si>
  <si>
    <t>SD consultant</t>
  </si>
  <si>
    <t>Spec giá ZVLP/ZVDI/ZMIN/ZVIV, free-bag, hợp đồng, sản lượng, credit memo; test case &amp; UAT SD</t>
  </si>
  <si>
    <t>TỔNG</t>
  </si>
  <si>
    <t/>
  </si>
  <si>
    <t>Tỷ trọng Tuấn + Nam</t>
  </si>
  <si>
    <t>% sử dụng &gt; 100% nghĩa là có làm thêm thứ Bảy (xem sheet "Nguồn lực theo tuần").</t>
  </si>
  <si>
    <t>MỐC CHÍNH (MILESTONE)</t>
  </si>
  <si>
    <t>Mốc</t>
  </si>
  <si>
    <t>Ngày</t>
  </si>
  <si>
    <t>Nội dung</t>
  </si>
  <si>
    <t>Điều kiện đạt</t>
  </si>
  <si>
    <t>M0 – Kickoff</t>
  </si>
  <si>
    <t>29/10/2026</t>
  </si>
  <si>
    <t>Kickoff, kiểm tra môi trường DEV930</t>
  </si>
  <si>
    <t>Môi trường gọi RFC OK</t>
  </si>
  <si>
    <t>M1 – Chốt yêu cầu</t>
  </si>
  <si>
    <t>04/11/2026</t>
  </si>
  <si>
    <t>Decision log SD/FI, ma trận bút toán, mapping field ký</t>
  </si>
  <si>
    <t>BRD + mapping sign-off</t>
  </si>
  <si>
    <t>M2 – Nền tảng</t>
  </si>
  <si>
    <t>06/11/2026</t>
  </si>
  <si>
    <t>JWT, logging API, logging SAP (ZRDM_API_LOG + SLG1)</t>
  </si>
  <si>
    <t>Correlation-Id truy được 2 phía</t>
  </si>
  <si>
    <t>M3 – Bàn giao nhóm A</t>
  </si>
  <si>
    <t>13/11/2026</t>
  </si>
  <si>
    <t>ZRDM-001/002/003 – master data (42 API)</t>
  </si>
  <si>
    <t>Test nhóm A pass</t>
  </si>
  <si>
    <t>M4 – Bàn giao nhóm B</t>
  </si>
  <si>
    <t>20/11/2026</t>
  </si>
  <si>
    <t>ZRDM-004…009 – giá, VAT, HĐ, tín dụng, free-bag</t>
  </si>
  <si>
    <t>Test nhóm B pass</t>
  </si>
  <si>
    <t>M5 – Bàn giao nhóm C + D (FI)</t>
  </si>
  <si>
    <t>27/11/2026</t>
  </si>
  <si>
    <t>ZRDM-010…022 – HĐ free-bag, sản lượng, credit memo, FI, báo cáo 014/017</t>
  </si>
  <si>
    <t>Test nhóm C/D pass</t>
  </si>
  <si>
    <t>M6 – Bàn giao 023/024</t>
  </si>
  <si>
    <t>30/11/2026</t>
  </si>
  <si>
    <t>Biên bản đối chiếu công nợ (report + API)</t>
  </si>
  <si>
    <t>Kế toán xác nhận số liệu</t>
  </si>
  <si>
    <t>M7 – SIT xong</t>
  </si>
  <si>
    <t>02/12/2026</t>
  </si>
  <si>
    <t>SIT end-to-end + hiệu năng</t>
  </si>
  <si>
    <t>Không còn lỗi Critical/High</t>
  </si>
  <si>
    <t>M8 – UAT ký</t>
  </si>
  <si>
    <t>04/12/2026</t>
  </si>
  <si>
    <t>UAT người dùng Tafico</t>
  </si>
  <si>
    <t>Biên bản UAT</t>
  </si>
  <si>
    <t>M9 – Go-live</t>
  </si>
  <si>
    <t>07/12/2026</t>
  </si>
  <si>
    <t>Transport PRD, deploy, bàn giao tài liệu</t>
  </si>
  <si>
    <t>Nghiệm thu</t>
  </si>
  <si>
    <t>GIẢ ĐỊNH &amp; LƯU Ý</t>
  </si>
  <si>
    <t>• Backend hiện tại đã có khung (JWT, logging API, idempotency, master data, giá BAPI, FB01/FB75/đảo chứng từ, VA01/VA41/VBN1) – API "Có sẵn" chỉ rà soát + test, "Điều chỉnh" sửa theo spec mới, "Mới" code mới.</t>
  </si>
  <si>
    <t>• Ước lượng theo ngày công (md); lịch được xếp tự động theo năng lực từng người, ưu tiên hạn bàn giao SOW, tôn trọng phụ thuộc ABAP → API.</t>
  </si>
  <si>
    <t>• Thứ Bảy là ngày dự phòng/OT, chỉ dùng cho Tuấn &amp; Nam khi việc có nguy cơ trễ hạn SOW.</t>
  </si>
  <si>
    <t>• Một số API nhóm B/D (đánh dấu cam ở WBS) kết thúc vào thứ Bảy ngay sau hạn SOW 1 ngày – cần chốt với Tafico hoặc tăng OT.</t>
  </si>
  <si>
    <t>• Open point ở sheet "Rủi ro &amp; Open point" phải chốt trước 04/11; chốt muộn sẽ đẩy lùi nhóm B/C/D.</t>
  </si>
  <si>
    <t>• Nam đảm nhận thêm API .NET cho 3 nghiệp vụ hạch toán FI (016/019/020) vì dùng trực tiếp khung FI Z_RDM_FI_POST do Nam viết.</t>
  </si>
  <si>
    <t>• ZRDM-008 (bảo lãnh ngân hàng) không triển khai theo SOW v1.1.</t>
  </si>
  <si>
    <t>DANH MỤC API – mỗi đối tượng × hành động = 1 API</t>
  </si>
  <si>
    <t>112 API · Trạng thái: Có sẵn = đã có trong backend, rà soát + test · Điều chỉnh = có, sửa theo spec · Mới = xây mới</t>
  </si>
  <si>
    <t>STT</t>
  </si>
  <si>
    <t>Mã API</t>
  </si>
  <si>
    <t>Mã SOW</t>
  </si>
  <si>
    <t>Nhóm</t>
  </si>
  <si>
    <t>Đối tượng</t>
  </si>
  <si>
    <t>Hành động</t>
  </si>
  <si>
    <t>Method</t>
  </si>
  <si>
    <t>Endpoint</t>
  </si>
  <si>
    <t>Hàm SAP / nguồn dữ liệu</t>
  </si>
  <si>
    <t>Object ABAP phụ thuộc</t>
  </si>
  <si>
    <t>Trạng thái</t>
  </si>
  <si>
    <t>Quyền JWT</t>
  </si>
  <si>
    <t>Idempotency (requestId)</t>
  </si>
  <si>
    <t>Log API / Log SAP</t>
  </si>
  <si>
    <t>Người làm</t>
  </si>
  <si>
    <t>Công (md)</t>
  </si>
  <si>
    <t>Bắt đầu</t>
  </si>
  <si>
    <t>Kết thúc</t>
  </si>
  <si>
    <t>Hạn SOW</t>
  </si>
  <si>
    <t>Cảnh báo</t>
  </si>
  <si>
    <t>API-001</t>
  </si>
  <si>
    <t>Chung</t>
  </si>
  <si>
    <t>Xác thực</t>
  </si>
  <si>
    <t>Cấp token JWT</t>
  </si>
  <si>
    <t>POST</t>
  </si>
  <si>
    <t>/api/auth/token</t>
  </si>
  <si>
    <t>–</t>
  </si>
  <si>
    <t>Điều chỉnh</t>
  </si>
  <si>
    <t>Partner (ghi)</t>
  </si>
  <si>
    <t>Bắt buộc</t>
  </si>
  <si>
    <t>Có / Có</t>
  </si>
  <si>
    <t>API-002</t>
  </si>
  <si>
    <t>Làm mới token (refresh)</t>
  </si>
  <si>
    <t>/api/auth/refresh</t>
  </si>
  <si>
    <t>Mới</t>
  </si>
  <si>
    <t>API-003</t>
  </si>
  <si>
    <t>Thông tin user hiện tại + phạm vi dữ liệu</t>
  </si>
  <si>
    <t>GET</t>
  </si>
  <si>
    <t>/api/auth/me</t>
  </si>
  <si>
    <t>Partner (đọc)</t>
  </si>
  <si>
    <t>Có / –</t>
  </si>
  <si>
    <t>API-004</t>
  </si>
  <si>
    <t>Người dùng</t>
  </si>
  <si>
    <t>Danh sách user</t>
  </si>
  <si>
    <t>/api/auth/users</t>
  </si>
  <si>
    <t>Có sẵn</t>
  </si>
  <si>
    <t>Admin</t>
  </si>
  <si>
    <t>API-005</t>
  </si>
  <si>
    <t>Tạo/sửa user, role, phạm vi đối tác</t>
  </si>
  <si>
    <t>PUT</t>
  </si>
  <si>
    <t>/api/auth/users/{username}</t>
  </si>
  <si>
    <t>API-006</t>
  </si>
  <si>
    <t>Chứng từ RDM</t>
  </si>
  <si>
    <t>Tra cứu theo Id</t>
  </si>
  <si>
    <t>/api/postings/{id}</t>
  </si>
  <si>
    <t>API-007</t>
  </si>
  <si>
    <t>Tra cứu theo requestId</t>
  </si>
  <si>
    <t>/api/postings/{operation}/{requestId}</t>
  </si>
  <si>
    <t>API-008</t>
  </si>
  <si>
    <t>Tìm kiếm danh sách</t>
  </si>
  <si>
    <t>/api/postings</t>
  </si>
  <si>
    <t>API-009</t>
  </si>
  <si>
    <t>Kết nối SAP</t>
  </si>
  <si>
    <t>Kiểm tra kết nối</t>
  </si>
  <si>
    <t>/api/sap/ping</t>
  </si>
  <si>
    <t>RFC_PING</t>
  </si>
  <si>
    <t>API-010</t>
  </si>
  <si>
    <t>Log API→SAP</t>
  </si>
  <si>
    <t>Danh sách log gọi SAP</t>
  </si>
  <si>
    <t>/api/admin/sap-calls</t>
  </si>
  <si>
    <t>API-011</t>
  </si>
  <si>
    <t>Chi tiết 1 lần gọi</t>
  </si>
  <si>
    <t>/api/admin/sap-calls/{id}</t>
  </si>
  <si>
    <t>API-012</t>
  </si>
  <si>
    <t>Log trên SAP</t>
  </si>
  <si>
    <t>Danh sách log SAP (ZRDM_API_LOG)</t>
  </si>
  <si>
    <t>/api/admin/sap-logs</t>
  </si>
  <si>
    <t>Z_RDM_LOG_READ</t>
  </si>
  <si>
    <t>L.3</t>
  </si>
  <si>
    <t>API-013</t>
  </si>
  <si>
    <t>Log SAP theo Correlation-Id</t>
  </si>
  <si>
    <t>/api/admin/sap-logs/{correlationId}</t>
  </si>
  <si>
    <t>API-014</t>
  </si>
  <si>
    <t>ZRDM-001</t>
  </si>
  <si>
    <t>A</t>
  </si>
  <si>
    <t>Sold-to</t>
  </si>
  <si>
    <t>Đồng bộ từ SAP (full + delta)</t>
  </si>
  <si>
    <t>/api/master-data/sold-to/sync</t>
  </si>
  <si>
    <t>RFC_READ_TABLE + Z_RDM_CUST_DELTA_GET</t>
  </si>
  <si>
    <t>N.001</t>
  </si>
  <si>
    <t>API-015</t>
  </si>
  <si>
    <t>Lấy danh sách (lọc, phân trang, changedSince)</t>
  </si>
  <si>
    <t>/api/master-data/sold-to</t>
  </si>
  <si>
    <t>DB local</t>
  </si>
  <si>
    <t>API-016</t>
  </si>
  <si>
    <t>Lấy chi tiết 1 KH</t>
  </si>
  <si>
    <t>/api/master-data/sold-to/{customer}</t>
  </si>
  <si>
    <t>API-017</t>
  </si>
  <si>
    <t>Ship-to</t>
  </si>
  <si>
    <t>/api/master-data/ship-to/sync</t>
  </si>
  <si>
    <t>API-018</t>
  </si>
  <si>
    <t>Lấy danh sách</t>
  </si>
  <si>
    <t>/api/master-data/ship-to</t>
  </si>
  <si>
    <t>API-019</t>
  </si>
  <si>
    <t>Lấy chi tiết 1 ship-to</t>
  </si>
  <si>
    <t>/api/master-data/ship-to/{customer}</t>
  </si>
  <si>
    <t>API-020</t>
  </si>
  <si>
    <t>Quan hệ Sold-to ↔ Ship-to</t>
  </si>
  <si>
    <t>Đồng bộ từ SAP</t>
  </si>
  <si>
    <t>/api/master-data/sold-to-ship-to/sync</t>
  </si>
  <si>
    <t>RFC_READ_TABLE KNVP</t>
  </si>
  <si>
    <t>API-021</t>
  </si>
  <si>
    <t>/api/master-data/sold-to-ship-to</t>
  </si>
  <si>
    <t>API-022</t>
  </si>
  <si>
    <t>Sales Org</t>
  </si>
  <si>
    <t>/api/master-data/sales-orgs/sync</t>
  </si>
  <si>
    <t>RFC_READ_TABLE TVKO/TVKOT</t>
  </si>
  <si>
    <t>API-023</t>
  </si>
  <si>
    <t>/api/master-data/sales-orgs</t>
  </si>
  <si>
    <t>API-024</t>
  </si>
  <si>
    <t>Kênh phân phối</t>
  </si>
  <si>
    <t>/api/master-data/distribution-channels/sync</t>
  </si>
  <si>
    <t>RFC_READ_TABLE TVTW/TVTWT</t>
  </si>
  <si>
    <t>API-025</t>
  </si>
  <si>
    <t>/api/master-data/distribution-channels</t>
  </si>
  <si>
    <t>API-026</t>
  </si>
  <si>
    <t>Sales Office</t>
  </si>
  <si>
    <t>/api/master-data/sales-offices/sync</t>
  </si>
  <si>
    <t>RFC_READ_TABLE TVBUR/TVKBT</t>
  </si>
  <si>
    <t>API-027</t>
  </si>
  <si>
    <t>/api/master-data/sales-offices</t>
  </si>
  <si>
    <t>API-028</t>
  </si>
  <si>
    <t>Sales District</t>
  </si>
  <si>
    <t>/api/master-data/sales-districts/sync</t>
  </si>
  <si>
    <t>RFC_READ_TABLE T171/T171T</t>
  </si>
  <si>
    <t>API-029</t>
  </si>
  <si>
    <t>/api/master-data/sales-districts</t>
  </si>
  <si>
    <t>API-030</t>
  </si>
  <si>
    <t>Shipping Condition</t>
  </si>
  <si>
    <t>/api/master-data/shipping-conditions/sync</t>
  </si>
  <si>
    <t>RFC_READ_TABLE TVSB/TVSBT</t>
  </si>
  <si>
    <t>API-031</t>
  </si>
  <si>
    <t>/api/master-data/shipping-conditions</t>
  </si>
  <si>
    <t>API-032</t>
  </si>
  <si>
    <t>Payment Method</t>
  </si>
  <si>
    <t>/api/master-data/payment-methods/sync</t>
  </si>
  <si>
    <t>RFC_READ_TABLE T042Z</t>
  </si>
  <si>
    <t>API-033</t>
  </si>
  <si>
    <t>/api/master-data/payment-methods</t>
  </si>
  <si>
    <t>API-034</t>
  </si>
  <si>
    <t>Vehicle Type</t>
  </si>
  <si>
    <t>/api/master-data/vehicle-types/sync</t>
  </si>
  <si>
    <t>RFC_READ_TABLE TVV3T (chờ chốt)</t>
  </si>
  <si>
    <t>API-035</t>
  </si>
  <si>
    <t>/api/master-data/vehicle-types</t>
  </si>
  <si>
    <t>API-036</t>
  </si>
  <si>
    <t>Customer Group 3</t>
  </si>
  <si>
    <t>/api/master-data/customer-groups-3/sync</t>
  </si>
  <si>
    <t>RFC_READ_TABLE TVV3/TVV3T</t>
  </si>
  <si>
    <t>API-037</t>
  </si>
  <si>
    <t>/api/master-data/customer-groups-3</t>
  </si>
  <si>
    <t>API-038</t>
  </si>
  <si>
    <t>Lấy gán Sales Office ↔ Sales Org/kênh/ngành</t>
  </si>
  <si>
    <t>/api/master-data/sales-office-assignments</t>
  </si>
  <si>
    <t>DB local (TVKBZ)</t>
  </si>
  <si>
    <t>API-039</t>
  </si>
  <si>
    <t>Toàn bộ master data</t>
  </si>
  <si>
    <t>Đồng bộ tất cả (job)</t>
  </si>
  <si>
    <t>/api/master-data/sync-all</t>
  </si>
  <si>
    <t>Hangfire</t>
  </si>
  <si>
    <t>API-040</t>
  </si>
  <si>
    <t>Lịch sử các lần đồng bộ</t>
  </si>
  <si>
    <t>/api/master-data/sync-runs</t>
  </si>
  <si>
    <t>API-041</t>
  </si>
  <si>
    <t>ZRDM-002</t>
  </si>
  <si>
    <t>Vật tư</t>
  </si>
  <si>
    <t>/api/master-data/materials/sync</t>
  </si>
  <si>
    <t>RFC_READ_TABLE MARA/MAKT/MVKE</t>
  </si>
  <si>
    <t>API-042</t>
  </si>
  <si>
    <t>Lấy danh sách (tên EN/VN, ĐVT)</t>
  </si>
  <si>
    <t>/api/master-data/materials</t>
  </si>
  <si>
    <t>API-043</t>
  </si>
  <si>
    <t>Lấy chi tiết 1 vật tư</t>
  </si>
  <si>
    <t>/api/master-data/materials/{material}</t>
  </si>
  <si>
    <t>API-044</t>
  </si>
  <si>
    <t>Material Group</t>
  </si>
  <si>
    <t>/api/master-data/material-groups/sync</t>
  </si>
  <si>
    <t>RFC_READ_TABLE T023/T023T</t>
  </si>
  <si>
    <t>API-045</t>
  </si>
  <si>
    <t>/api/master-data/material-groups</t>
  </si>
  <si>
    <t>API-046</t>
  </si>
  <si>
    <t>Material Type</t>
  </si>
  <si>
    <t>/api/master-data/material-types/sync</t>
  </si>
  <si>
    <t>RFC_READ_TABLE T134/T134T</t>
  </si>
  <si>
    <t>API-047</t>
  </si>
  <si>
    <t>/api/master-data/material-types</t>
  </si>
  <si>
    <t>API-048</t>
  </si>
  <si>
    <t>Division</t>
  </si>
  <si>
    <t>/api/master-data/divisions/sync</t>
  </si>
  <si>
    <t>RFC_READ_TABLE TSPA/TSPAT</t>
  </si>
  <si>
    <t>API-049</t>
  </si>
  <si>
    <t>/api/master-data/divisions</t>
  </si>
  <si>
    <t>API-050</t>
  </si>
  <si>
    <t>Plant</t>
  </si>
  <si>
    <t>/api/master-data/plants/sync</t>
  </si>
  <si>
    <t>RFC_READ_TABLE T001W</t>
  </si>
  <si>
    <t>API-051</t>
  </si>
  <si>
    <t>/api/master-data/plants</t>
  </si>
  <si>
    <t>API-052</t>
  </si>
  <si>
    <t>ZRDM-003</t>
  </si>
  <si>
    <t>Tài khoản GL (COA 1000)</t>
  </si>
  <si>
    <t>Đồng bộ + đối soát khóa/xóa</t>
  </si>
  <si>
    <t>/api/master-data/gl-accounts/sync</t>
  </si>
  <si>
    <t>BAPI_GL_ACC_GETLIST + SKA1/SKB1</t>
  </si>
  <si>
    <t>API-053</t>
  </si>
  <si>
    <t>/api/master-data/gl-accounts</t>
  </si>
  <si>
    <t>API-054</t>
  </si>
  <si>
    <t>Cost Center (G100)</t>
  </si>
  <si>
    <t>/api/master-data/cost-centers/sync</t>
  </si>
  <si>
    <t>BAPI_COSTCENTER_GETLIST1</t>
  </si>
  <si>
    <t>API-055</t>
  </si>
  <si>
    <t>/api/master-data/cost-centers</t>
  </si>
  <si>
    <t>API-056</t>
  </si>
  <si>
    <t>ZRDM-004</t>
  </si>
  <si>
    <t>B</t>
  </si>
  <si>
    <t>Bảng giá (ZVLP/ZVDI/ZMIN/ZVIV)</t>
  </si>
  <si>
    <t>Kiểm tra tồn tại / trùng / overlap</t>
  </si>
  <si>
    <t>/api/sd/prices/check</t>
  </si>
  <si>
    <t>RFC_READ_TABLE A990/A991/A912/A919</t>
  </si>
  <si>
    <t>N.004</t>
  </si>
  <si>
    <t>API-057</t>
  </si>
  <si>
    <t>Bảng giá</t>
  </si>
  <si>
    <t>Tạo 1 bảng giá</t>
  </si>
  <si>
    <t>/api/sd/prices-bapi</t>
  </si>
  <si>
    <t>Z_ESD016_PRICES_CONDITIONS</t>
  </si>
  <si>
    <t>API-058</t>
  </si>
  <si>
    <t>Tạo nhiều bảng giá (job nền)</t>
  </si>
  <si>
    <t>/api/sd/prices-bapi/jobs/create</t>
  </si>
  <si>
    <t>API-059</t>
  </si>
  <si>
    <t>Sửa 1 bảng giá</t>
  </si>
  <si>
    <t>/api/sd/prices-bapi/change</t>
  </si>
  <si>
    <t>API-060</t>
  </si>
  <si>
    <t>Sửa nhiều bảng giá (job nền)</t>
  </si>
  <si>
    <t>/api/sd/prices-bapi/jobs/change</t>
  </si>
  <si>
    <t>API-061</t>
  </si>
  <si>
    <t>Duyệt 1 bảng giá</t>
  </si>
  <si>
    <t>/api/sd/prices-bapi/approve</t>
  </si>
  <si>
    <t>API-062</t>
  </si>
  <si>
    <t>Duyệt nhiều bảng giá (job nền)</t>
  </si>
  <si>
    <t>/api/sd/prices-bapi/jobs/approve</t>
  </si>
  <si>
    <t>API-063</t>
  </si>
  <si>
    <t>Bỏ duyệt 1 bảng giá</t>
  </si>
  <si>
    <t>/api/sd/prices-bapi/unapprove</t>
  </si>
  <si>
    <t>API-064</t>
  </si>
  <si>
    <t>Bỏ duyệt nhiều bảng giá (job nền)</t>
  </si>
  <si>
    <t>/api/sd/prices-bapi/jobs/unapprove</t>
  </si>
  <si>
    <t>API-065</t>
  </si>
  <si>
    <t>Hủy hiệu lực 1 bảng giá</t>
  </si>
  <si>
    <t>/api/sd/prices-bapi/invalidate</t>
  </si>
  <si>
    <t>API-066</t>
  </si>
  <si>
    <t>Hủy hiệu lực nhiều bảng giá (job nền)</t>
  </si>
  <si>
    <t>/api/sd/prices-bapi/jobs/invalidate</t>
  </si>
  <si>
    <t>API-067</t>
  </si>
  <si>
    <t>Tạo bảng giá mới từ bảng giá cũ theo VAT%</t>
  </si>
  <si>
    <t>/api/sd/prices/copy-with-vat</t>
  </si>
  <si>
    <t>API-068</t>
  </si>
  <si>
    <t>Lấy bảng giá (lọc theo khóa điều kiện, hiệu lực)</t>
  </si>
  <si>
    <t>/api/sd/prices</t>
  </si>
  <si>
    <t>RFC_READ_TABLE A9xx + KONH/KONP</t>
  </si>
  <si>
    <t>API-069</t>
  </si>
  <si>
    <t>Job bảng giá</t>
  </si>
  <si>
    <t>Trạng thái / kết quả job theo requestId</t>
  </si>
  <si>
    <t>/api/sd/prices-bapi/jobs/{operation}/{requestId}</t>
  </si>
  <si>
    <t>API-070</t>
  </si>
  <si>
    <t>ZRDM-005</t>
  </si>
  <si>
    <t>Phân loại thuế vật tư (TAXM1)</t>
  </si>
  <si>
    <t>Cập nhật TAXM1 cho danh sách vật tư</t>
  </si>
  <si>
    <t>/api/mm/material-tax-classification</t>
  </si>
  <si>
    <t>BAPI_MATERIAL_SAVEDATA</t>
  </si>
  <si>
    <t>API-071</t>
  </si>
  <si>
    <t>Lấy TAXM1 theo vật tư</t>
  </si>
  <si>
    <t>RFC_READ_TABLE MLAN</t>
  </si>
  <si>
    <t>API-072</t>
  </si>
  <si>
    <t>Mã thuế GTGT</t>
  </si>
  <si>
    <t>Lấy danh mục mã thuế &amp; thuế suất</t>
  </si>
  <si>
    <t>/api/fi/tax-codes</t>
  </si>
  <si>
    <t>RFC_READ_TABLE T007A/A003/KONP</t>
  </si>
  <si>
    <t>API-073</t>
  </si>
  <si>
    <t>ZRDM-006</t>
  </si>
  <si>
    <t>Hợp đồng bán hàng</t>
  </si>
  <si>
    <t>Lấy danh sách HĐ theo KH/ngày</t>
  </si>
  <si>
    <t>/api/sd/contracts</t>
  </si>
  <si>
    <t>Z_RDM_CONTRACT_GET</t>
  </si>
  <si>
    <t>N.006a</t>
  </si>
  <si>
    <t>API-074</t>
  </si>
  <si>
    <t>Lấy chi tiết 1 HĐ để xuất mẫu biểu</t>
  </si>
  <si>
    <t>/api/sd/contracts/{contractNo}</t>
  </si>
  <si>
    <t>API-075</t>
  </si>
  <si>
    <t>Tạo 1 HĐ</t>
  </si>
  <si>
    <t>Z_RDM_CONTRACT_CREATE</t>
  </si>
  <si>
    <t>N.006b</t>
  </si>
  <si>
    <t>API-076</t>
  </si>
  <si>
    <t>Tạo nhiều HĐ (job nền)</t>
  </si>
  <si>
    <t>/api/sd/contracts/jobs/create</t>
  </si>
  <si>
    <t>API-077</t>
  </si>
  <si>
    <t>Sửa HĐ</t>
  </si>
  <si>
    <t>/api/sd/contracts/change</t>
  </si>
  <si>
    <t>BAPI_CUSTOMERCONTRACT_CHANGE</t>
  </si>
  <si>
    <t>API-078</t>
  </si>
  <si>
    <t>Duyệt HĐ</t>
  </si>
  <si>
    <t>/api/sd/contracts/approve</t>
  </si>
  <si>
    <t>API-079</t>
  </si>
  <si>
    <t>ZRDM-007</t>
  </si>
  <si>
    <t>Hạn mức tín dụng (KNKK)</t>
  </si>
  <si>
    <t>Lấy hạn mức tất cả KH</t>
  </si>
  <si>
    <t>/api/customer-credits</t>
  </si>
  <si>
    <t>RFC_READ_TABLE KNKK</t>
  </si>
  <si>
    <t>API-080</t>
  </si>
  <si>
    <t>Lấy hạn mức 1 KH theo KKBER</t>
  </si>
  <si>
    <t>/api/customer-credits/{customer}</t>
  </si>
  <si>
    <t>API-081</t>
  </si>
  <si>
    <t>ZRDM-009</t>
  </si>
  <si>
    <t>Chương trình free-bag</t>
  </si>
  <si>
    <t>Tạo 1 chương trình</t>
  </si>
  <si>
    <t>/api/sd/freebag-programs</t>
  </si>
  <si>
    <t>Z_RDM_FREEGOODS_MAINTAIN</t>
  </si>
  <si>
    <t>N.009</t>
  </si>
  <si>
    <t>API-082</t>
  </si>
  <si>
    <t>Tạo nhiều chương trình (job nền)</t>
  </si>
  <si>
    <t>/api/sd/freebag-programs/jobs/create</t>
  </si>
  <si>
    <t>API-083</t>
  </si>
  <si>
    <t>Sửa chương trình</t>
  </si>
  <si>
    <t>/api/sd/freebag-programs/change</t>
  </si>
  <si>
    <t>API-084</t>
  </si>
  <si>
    <t>Hủy hiệu lực chương trình</t>
  </si>
  <si>
    <t>/api/sd/freebag-programs/invalidate</t>
  </si>
  <si>
    <t>Trễ 1 ngày – OT thứ Bảy</t>
  </si>
  <si>
    <t>API-085</t>
  </si>
  <si>
    <t>Lấy danh sách / chi tiết chương trình</t>
  </si>
  <si>
    <t>Z_RDM_FREEGOODS_GET</t>
  </si>
  <si>
    <t>N.009b</t>
  </si>
  <si>
    <t>API-086</t>
  </si>
  <si>
    <t>ZRDM-010</t>
  </si>
  <si>
    <t>C</t>
  </si>
  <si>
    <t>HĐ free-bag</t>
  </si>
  <si>
    <t>Tạo HĐ free-bag</t>
  </si>
  <si>
    <t>/api/sd/freebag-contracts</t>
  </si>
  <si>
    <t>Z_RDM_FREEBAG_CONTRACT</t>
  </si>
  <si>
    <t>N.010</t>
  </si>
  <si>
    <t>API-087</t>
  </si>
  <si>
    <t>Cập nhật HĐ free-bag (khi tồn thay đổi)</t>
  </si>
  <si>
    <t>/api/sd/freebag-contracts/change</t>
  </si>
  <si>
    <t>API-088</t>
  </si>
  <si>
    <t>Lấy chi tiết HĐ free-bag</t>
  </si>
  <si>
    <t>/api/sd/freebag-contracts/{contractNo}</t>
  </si>
  <si>
    <t>API-089</t>
  </si>
  <si>
    <t>ZRDM-011</t>
  </si>
  <si>
    <t>Sản lượng tính chiết khấu</t>
  </si>
  <si>
    <t>Lấy sản lượng (phân trang, theo KH/kỳ)</t>
  </si>
  <si>
    <t>/api/sd/sales-volumes</t>
  </si>
  <si>
    <t>Z_RDM_SALES_VOLUME_GET</t>
  </si>
  <si>
    <t>N.011a</t>
  </si>
  <si>
    <t>API-090</t>
  </si>
  <si>
    <t>Trích xuất khối lượng lớn (job nền)</t>
  </si>
  <si>
    <t>/api/sd/sales-volumes/jobs/export</t>
  </si>
  <si>
    <t>API-091</t>
  </si>
  <si>
    <t>Free-bag đã chi trả</t>
  </si>
  <si>
    <t>Lấy dữ liệu free-bag đã chi trả (phân trang)</t>
  </si>
  <si>
    <t>/api/sd/freebag-payouts</t>
  </si>
  <si>
    <t>Z_RDM_FREEBAG_PAID_GET</t>
  </si>
  <si>
    <t>N.011b</t>
  </si>
  <si>
    <t>API-092</t>
  </si>
  <si>
    <t>ZRDM-012</t>
  </si>
  <si>
    <t>Credit memo request</t>
  </si>
  <si>
    <t>Tạo yêu cầu giảm giá / cấn trừ công nợ</t>
  </si>
  <si>
    <t>/api/sd/credit-memo-requests</t>
  </si>
  <si>
    <t>Z_RDM_CMR_CREATE</t>
  </si>
  <si>
    <t>N.012</t>
  </si>
  <si>
    <t>API-093</t>
  </si>
  <si>
    <t>Tra cứu trạng thái / chứng từ liên quan</t>
  </si>
  <si>
    <t>/api/sd/credit-memo-requests/{docNo}</t>
  </si>
  <si>
    <t>RFC_READ_TABLE VBAK/VBFA</t>
  </si>
  <si>
    <t>API-094</t>
  </si>
  <si>
    <t>ZRDM-013</t>
  </si>
  <si>
    <t>Bút toán CK trực tiếp</t>
  </si>
  <si>
    <t>Kiểm tra trước khi hạch toán</t>
  </si>
  <si>
    <t>/api/fi/discount-postings/check</t>
  </si>
  <si>
    <t>BAPI_ACC_DOCUMENT_CHECK</t>
  </si>
  <si>
    <t>N.013</t>
  </si>
  <si>
    <t>API-095</t>
  </si>
  <si>
    <t>Hạch toán (gồm quyết toán âm)</t>
  </si>
  <si>
    <t>/api/fi/discount-postings</t>
  </si>
  <si>
    <t>Z_RDM_FI_POST</t>
  </si>
  <si>
    <t>API-096</t>
  </si>
  <si>
    <t>ZRDM-015</t>
  </si>
  <si>
    <t>D</t>
  </si>
  <si>
    <t>CK thanh toán trước</t>
  </si>
  <si>
    <t>Lấy danh sách kết quả tính</t>
  </si>
  <si>
    <t>/api/fi/early-payment-discounts</t>
  </si>
  <si>
    <t>Z_RDM_EPD_GET</t>
  </si>
  <si>
    <t>K.015</t>
  </si>
  <si>
    <t>API-097</t>
  </si>
  <si>
    <t>Lấy chi tiết theo KH/kỳ</t>
  </si>
  <si>
    <t>/api/fi/early-payment-discounts/{customer}</t>
  </si>
  <si>
    <t>API-098</t>
  </si>
  <si>
    <t>ZRDM-016</t>
  </si>
  <si>
    <t>Bút toán CK thanh toán trước</t>
  </si>
  <si>
    <t>/api/fi/early-payment-discount-postings/check</t>
  </si>
  <si>
    <t>API-099</t>
  </si>
  <si>
    <t>Hạch toán</t>
  </si>
  <si>
    <t>/api/fi/early-payment-discount-postings</t>
  </si>
  <si>
    <t>API-100</t>
  </si>
  <si>
    <t>ZRDM-018</t>
  </si>
  <si>
    <t>Lãi quá hạn</t>
  </si>
  <si>
    <t>/api/fi/overdue-interests</t>
  </si>
  <si>
    <t>Z_RDM_ODI_GET</t>
  </si>
  <si>
    <t>K.018</t>
  </si>
  <si>
    <t>API-101</t>
  </si>
  <si>
    <t>/api/fi/overdue-interests/{customer}</t>
  </si>
  <si>
    <t>API-102</t>
  </si>
  <si>
    <t>ZRDM-019</t>
  </si>
  <si>
    <t>Bút toán lãi quá hạn</t>
  </si>
  <si>
    <t>/api/fi/overdue-interest-postings/check</t>
  </si>
  <si>
    <t>API-103</t>
  </si>
  <si>
    <t>/api/fi/overdue-interest-postings</t>
  </si>
  <si>
    <t>API-104</t>
  </si>
  <si>
    <t>ZRDM-020</t>
  </si>
  <si>
    <t>Bút toán trích trước (accrual)</t>
  </si>
  <si>
    <t>/api/fi/accruals/check</t>
  </si>
  <si>
    <t>API-105</t>
  </si>
  <si>
    <t>Hạch toán trích trước</t>
  </si>
  <si>
    <t>/api/fi/accruals</t>
  </si>
  <si>
    <t>API-106</t>
  </si>
  <si>
    <t>Tra cứu chứng từ trích trước do RDM tạo</t>
  </si>
  <si>
    <t>DB local + ZRDM_FI_DOC</t>
  </si>
  <si>
    <t>API-107</t>
  </si>
  <si>
    <t>ZRDM-021</t>
  </si>
  <si>
    <t>Hoàn nhập 1 chứng từ khi sai sót</t>
  </si>
  <si>
    <t>/api/fi/accruals/{docNo}/reverse</t>
  </si>
  <si>
    <t>BAPI_ACC_DOCUMENT_REV_POST</t>
  </si>
  <si>
    <t>API-108</t>
  </si>
  <si>
    <t>ZRDM-022</t>
  </si>
  <si>
    <t>Hoàn nhập tự động đầu kỳ</t>
  </si>
  <si>
    <t>Chạy hoàn nhập tự động (thủ công / Hangfire)</t>
  </si>
  <si>
    <t>/api/fi/accruals/auto-reverse/run</t>
  </si>
  <si>
    <t>API-109</t>
  </si>
  <si>
    <t>Lịch sử &amp; kết quả các lần chạy</t>
  </si>
  <si>
    <t>/api/fi/accruals/auto-reverse/runs</t>
  </si>
  <si>
    <t>API-110</t>
  </si>
  <si>
    <t>ZRDM-024</t>
  </si>
  <si>
    <t>Biên bản đối chiếu công nợ</t>
  </si>
  <si>
    <t>Lấy danh sách KH có biên bản theo kỳ</t>
  </si>
  <si>
    <t>/api/fi/ar-statements</t>
  </si>
  <si>
    <t>Z_RDM_AR_STMT_GET</t>
  </si>
  <si>
    <t>N.024</t>
  </si>
  <si>
    <t>API-111</t>
  </si>
  <si>
    <t>Lấy chi tiết biên bản 1 KH/kỳ</t>
  </si>
  <si>
    <t>/api/fi/ar-statements/{customer}</t>
  </si>
  <si>
    <t>API-112</t>
  </si>
  <si>
    <t>Trích xuất hàng loạt theo kỳ (job nền)</t>
  </si>
  <si>
    <t>/api/fi/ar-statements/jobs/export</t>
  </si>
  <si>
    <t>Thống kê</t>
  </si>
  <si>
    <t>Tổng</t>
  </si>
  <si>
    <t>WBS CHI TIẾT – công việc, người làm, công, lịch</t>
  </si>
  <si>
    <t>Cột công (md) theo từng người; Tổng = công thức. Ngày bắt đầu/kết thúc do lịch tự động xếp theo năng lực. Dòng nền cam = kết thúc sau hạn SOW</t>
  </si>
  <si>
    <t>Mã</t>
  </si>
  <si>
    <t>Giai đoạn</t>
  </si>
  <si>
    <t>Công việc</t>
  </si>
  <si>
    <t>Sản phẩm bàn giao</t>
  </si>
  <si>
    <t>Chủ trì</t>
  </si>
  <si>
    <t>Loại</t>
  </si>
  <si>
    <t>Tổng công</t>
  </si>
  <si>
    <t>Số ngày LV</t>
  </si>
  <si>
    <t>Phụ thuộc</t>
  </si>
  <si>
    <t>Tiêu chí hoàn thành</t>
  </si>
  <si>
    <t>Hạng mục chi phí</t>
  </si>
  <si>
    <t>0.1</t>
  </si>
  <si>
    <t>P0 Khởi động &amp; chốt yêu cầu</t>
  </si>
  <si>
    <t>Tất cả</t>
  </si>
  <si>
    <t>Kickoff: chốt phạm vi 24 đối tượng, kế hoạch 40 ngày, quy trình duyệt spec &amp; change request</t>
  </si>
  <si>
    <t>Biên bản kickoff, kế hoạch baseline</t>
  </si>
  <si>
    <t>Workshop/Test</t>
  </si>
  <si>
    <t>Các bên xác nhận phạm vi &amp; kế hoạch</t>
  </si>
  <si>
    <t>Chưa bắt đầu</t>
  </si>
  <si>
    <t>Phân tích &amp; spec</t>
  </si>
  <si>
    <t>0.2</t>
  </si>
  <si>
    <t>Kiểm tra môi trường: user RFC DEV930 (S_RFC, S_TCODE), NCo 3.1, SQL Server, server API, quyền transport</t>
  </si>
  <si>
    <t>Checklist môi trường</t>
  </si>
  <si>
    <t>RFC_PING + 1 BAPI đọc chạy thành công</t>
  </si>
  <si>
    <t>0.3</t>
  </si>
  <si>
    <t>001, 004–012</t>
  </si>
  <si>
    <t>Workshop SD: chốt open point (loại xe = CG3?, chiều VAT, logic "theo xe", định nghĩa sản lượng, credit Classic/FSCM, mã dịch vụ tạo HĐ hàng loạt)</t>
  </si>
  <si>
    <t>Decision log SD</t>
  </si>
  <si>
    <t>Mọi open point SD có quyết định + người chốt</t>
  </si>
  <si>
    <t>0.4</t>
  </si>
  <si>
    <t>003, 013–024</t>
  </si>
  <si>
    <t>Workshop FI: ma trận bút toán (doc type, posting key, tài khoản, đối tượng CO), quyết toán âm, % CK thanh toán trước, trường GAP tính lãi, accrual cho free-bag</t>
  </si>
  <si>
    <t>Ma trận bút toán FI + decision log FI</t>
  </si>
  <si>
    <t>Ma trận bút toán được KT trưởng Tafico duyệt</t>
  </si>
  <si>
    <t>0.5</t>
  </si>
  <si>
    <t>Mapping field từng API (input/output), bảng mã lỗi nghiệp vụ, sign-off BRD</t>
  </si>
  <si>
    <t>BRD + file mapping v1.0</t>
  </si>
  <si>
    <t>0.3, 0.4</t>
  </si>
  <si>
    <t>File mapping được RDM &amp; Tafico ký</t>
  </si>
  <si>
    <t>P1 Nền tảng: REST, JWT, Logging API + Logging trên SAP</t>
  </si>
  <si>
    <t>GET /api/auth/users – Người dùng: Danh sách user</t>
  </si>
  <si>
    <t>Rà soát + test + Swagger</t>
  </si>
  <si>
    <t>API</t>
  </si>
  <si>
    <t>Đúng dữ liệu, phân trang, phân quyền đối tác</t>
  </si>
  <si>
    <t>Phát triển API</t>
  </si>
  <si>
    <t>GET /api/postings/{id} – Chứng từ RDM: Tra cứu theo Id</t>
  </si>
  <si>
    <t>GET /api/postings/{operation}/{requestId} – Chứng từ RDM: Tra cứu theo requestId</t>
  </si>
  <si>
    <t>GET /api/postings – Chứng từ RDM: Tìm kiếm danh sách</t>
  </si>
  <si>
    <t>GET /api/sap/ping – Kết nối SAP: Kiểm tra kết nối</t>
  </si>
  <si>
    <t>L.0</t>
  </si>
  <si>
    <t>Chuẩn ABAP: template FM RFC (RETURN, COMMIT/ROLLBACK, gọi log), quy ước đặt tên, code review, transport</t>
  </si>
  <si>
    <t>Coding guideline ABAP</t>
  </si>
  <si>
    <t>Nam &amp; Khang dùng chung template</t>
  </si>
  <si>
    <t>Phát triển ABAP</t>
  </si>
  <si>
    <t>1.1</t>
  </si>
  <si>
    <t>Thiết kế kiến trúc: chuẩn REST (resource/hành động, paging, ProblemDetails), bảng mã lỗi, idempotency requestId, quy tắc không retry lệnh ghi</t>
  </si>
  <si>
    <t>Tài liệu kiến trúc (SAD)</t>
  </si>
  <si>
    <t>Thiết kế/Tài liệu</t>
  </si>
  <si>
    <t>Techlead review đạt</t>
  </si>
  <si>
    <t>Kiến trúc &amp; bảo mật</t>
  </si>
  <si>
    <t>L.1</t>
  </si>
  <si>
    <t>Logging SAP: bảng ZRDM_API_LOG (header) + ZRDM_API_LOGI (message), BAL object ZRDM / subobject theo SOW, FM Z_RDM_LOG_WRITE (nhận Correlation-Id, user RDM, payload rút gọn)</t>
  </si>
  <si>
    <t>Objects ABAP logging</t>
  </si>
  <si>
    <t>Xem được log trên SLG1 &amp; bảng Z</t>
  </si>
  <si>
    <t>1.2</t>
  </si>
  <si>
    <t>JWT: cấp/refresh token, role, phạm vi dữ liệu theo đối tác (sửa lỗi KH thấy full data), xoay khóa ký, khóa tài khoản</t>
  </si>
  <si>
    <t>Module Auth + test bảo mật</t>
  </si>
  <si>
    <t>Sai/hết hạn token → 401; ngoài phạm vi → 403</t>
  </si>
  <si>
    <t>L.2</t>
  </si>
  <si>
    <t>Report ZRDM_LOG_VIEW (lọc SOW/ngày/user/Correlation-Id/trạng thái) + job dọn log quá hạn (SM36)</t>
  </si>
  <si>
    <t>Report ZRDM_LOG_VIEW</t>
  </si>
  <si>
    <t>Tra cứu được log theo Correlation-Id</t>
  </si>
  <si>
    <t>1.3</t>
  </si>
  <si>
    <t>Logging API: Serilog (file + SQL), Correlation-Id xuyên suốt và truyền sang SAP, rdm.SapCallLog, che dữ liệu nhạy cảm, retention</t>
  </si>
  <si>
    <t>Logging API</t>
  </si>
  <si>
    <t>Mỗi request truy được theo Correlation-Id</t>
  </si>
  <si>
    <t>POST /api/auth/token – Xác thực: Cấp token JWT</t>
  </si>
  <si>
    <t>Điều chỉnh + test + Swagger</t>
  </si>
  <si>
    <t>Có requestId, log 2 phía, mã lỗi đúng</t>
  </si>
  <si>
    <t>POST /api/auth/refresh – Xác thực: Làm mới token (refresh)</t>
  </si>
  <si>
    <t>Code mới + unit test + Swagger</t>
  </si>
  <si>
    <t>RFC Z_RDM_LOG_READ – đọc log SAP cho API quản trị</t>
  </si>
  <si>
    <t>FM RFC</t>
  </si>
  <si>
    <t>API đọc được log SAP</t>
  </si>
  <si>
    <t>GET /api/auth/me – Xác thực: Thông tin user hiện tại + phạm vi dữ liệu</t>
  </si>
  <si>
    <t>PUT /api/auth/users/{username} – Người dùng: Tạo/sửa user, role, phạm vi đối tác</t>
  </si>
  <si>
    <t>GET /api/admin/sap-calls – Log API→SAP: Danh sách log gọi SAP</t>
  </si>
  <si>
    <t>GET /api/admin/sap-calls/{id} – Log API→SAP: Chi tiết 1 lần gọi</t>
  </si>
  <si>
    <t>GET /api/admin/sap-logs – Log trên SAP: Danh sách log SAP (ZRDM_API_LOG)</t>
  </si>
  <si>
    <t>GET /api/admin/sap-logs/{correlationId} – Log trên SAP: Log SAP theo Correlation-Id</t>
  </si>
  <si>
    <t>L.4</t>
  </si>
  <si>
    <t>Gắn logging SAP vào các FM đang có: Z_EFI011, Z_EFI009, Z_ESD012/013/014/015/016</t>
  </si>
  <si>
    <t>Transport sửa FM</t>
  </si>
  <si>
    <t>Mọi lời gọi từ RDM đều có log SAP</t>
  </si>
  <si>
    <t>P2 Nhóm A – Master data (hạn 13/11)</t>
  </si>
  <si>
    <t>RFC Z_RDM_CUST_DELTA_GET: Sold-to/Ship-to + quan hệ KNVP thay đổi từ ngày (CDHDR/CDPOS), phân trang</t>
  </si>
  <si>
    <t>Delta trả đúng bản ghi thay đổi</t>
  </si>
  <si>
    <t>POST /api/master-data/sold-to/sync – Sold-to: Đồng bộ từ SAP (full + delta)</t>
  </si>
  <si>
    <t>GET /api/master-data/sold-to – Sold-to: Lấy danh sách (lọc, phân trang, changedSince)</t>
  </si>
  <si>
    <t>GET /api/master-data/sold-to/{customer} – Sold-to: Lấy chi tiết 1 KH</t>
  </si>
  <si>
    <t>POST /api/master-data/ship-to/sync – Ship-to: Đồng bộ từ SAP (full + delta)</t>
  </si>
  <si>
    <t>GET /api/master-data/ship-to – Ship-to: Lấy danh sách</t>
  </si>
  <si>
    <t>GET /api/master-data/ship-to/{customer} – Ship-to: Lấy chi tiết 1 ship-to</t>
  </si>
  <si>
    <t>POST /api/master-data/sold-to-ship-to/sync – Quan hệ Sold-to ↔ Ship-to: Đồng bộ từ SAP</t>
  </si>
  <si>
    <t>GET /api/master-data/sold-to-ship-to – Quan hệ Sold-to ↔ Ship-to: Lấy danh sách</t>
  </si>
  <si>
    <t>POST /api/master-data/sales-orgs/sync – Sales Org: Đồng bộ từ SAP</t>
  </si>
  <si>
    <t>GET /api/master-data/sales-orgs – Sales Org: Lấy danh sách</t>
  </si>
  <si>
    <t>POST /api/master-data/distribution-channels/sync – Kênh phân phối: Đồng bộ từ SAP</t>
  </si>
  <si>
    <t>GET /api/master-data/distribution-channels – Kênh phân phối: Lấy danh sách</t>
  </si>
  <si>
    <t>POST /api/master-data/sales-offices/sync – Sales Office: Đồng bộ từ SAP</t>
  </si>
  <si>
    <t>GET /api/master-data/sales-offices – Sales Office: Lấy danh sách</t>
  </si>
  <si>
    <t>POST /api/master-data/sales-districts/sync – Sales District: Đồng bộ từ SAP</t>
  </si>
  <si>
    <t>GET /api/master-data/sales-districts – Sales District: Lấy danh sách</t>
  </si>
  <si>
    <t>POST /api/master-data/shipping-conditions/sync – Shipping Condition: Đồng bộ từ SAP</t>
  </si>
  <si>
    <t>GET /api/master-data/shipping-conditions – Shipping Condition: Lấy danh sách</t>
  </si>
  <si>
    <t>POST /api/master-data/payment-methods/sync – Payment Method: Đồng bộ từ SAP</t>
  </si>
  <si>
    <t>GET /api/master-data/payment-methods – Payment Method: Lấy danh sách</t>
  </si>
  <si>
    <t>POST /api/master-data/vehicle-types/sync – Vehicle Type: Đồng bộ từ SAP</t>
  </si>
  <si>
    <t>GET /api/master-data/vehicle-types – Vehicle Type: Lấy danh sách</t>
  </si>
  <si>
    <t>POST /api/master-data/customer-groups-3/sync – Customer Group 3: Đồng bộ từ SAP</t>
  </si>
  <si>
    <t>GET /api/master-data/customer-groups-3 – Customer Group 3: Lấy danh sách</t>
  </si>
  <si>
    <t>GET /api/master-data/sales-office-assignments – Sales Office: Lấy gán Sales Office ↔ Sales Org/kênh/ngành</t>
  </si>
  <si>
    <t>POST /api/master-data/sync-all – Toàn bộ master data: Đồng bộ tất cả (job)</t>
  </si>
  <si>
    <t>GET /api/master-data/sync-runs – Toàn bộ master data: Lịch sử các lần đồng bộ</t>
  </si>
  <si>
    <t>POST /api/master-data/materials/sync – Vật tư: Đồng bộ từ SAP</t>
  </si>
  <si>
    <t>GET /api/master-data/materials – Vật tư: Lấy danh sách (tên EN/VN, ĐVT)</t>
  </si>
  <si>
    <t>GET /api/master-data/materials/{material} – Vật tư: Lấy chi tiết 1 vật tư</t>
  </si>
  <si>
    <t>POST /api/master-data/material-groups/sync – Material Group: Đồng bộ từ SAP</t>
  </si>
  <si>
    <t>GET /api/master-data/material-groups – Material Group: Lấy danh sách</t>
  </si>
  <si>
    <t>A.T</t>
  </si>
  <si>
    <t>ZRDM-001–003</t>
  </si>
  <si>
    <t>Test nhóm A: integration DEV930, đối soát số bản ghi với SAP, bàn giao nhóm A</t>
  </si>
  <si>
    <t>Báo cáo test nhóm A</t>
  </si>
  <si>
    <t>API nhóm A</t>
  </si>
  <si>
    <t>100% test case pass – bàn giao 13/11</t>
  </si>
  <si>
    <t>Kiểm thử</t>
  </si>
  <si>
    <t>POST /api/master-data/material-types/sync – Material Type: Đồng bộ từ SAP</t>
  </si>
  <si>
    <t>GET /api/master-data/material-types – Material Type: Lấy danh sách</t>
  </si>
  <si>
    <t>POST /api/master-data/divisions/sync – Division: Đồng bộ từ SAP</t>
  </si>
  <si>
    <t>GET /api/master-data/divisions – Division: Lấy danh sách</t>
  </si>
  <si>
    <t>POST /api/master-data/plants/sync – Plant: Đồng bộ từ SAP</t>
  </si>
  <si>
    <t>GET /api/master-data/plants – Plant: Lấy danh sách</t>
  </si>
  <si>
    <t>POST /api/master-data/gl-accounts/sync – Tài khoản GL (COA 1000): Đồng bộ + đối soát khóa/xóa</t>
  </si>
  <si>
    <t>GET /api/master-data/gl-accounts – Tài khoản GL (COA 1000): Lấy danh sách</t>
  </si>
  <si>
    <t>POST /api/master-data/cost-centers/sync – Cost Center (G100): Đồng bộ + đối soát khóa/xóa</t>
  </si>
  <si>
    <t>GET /api/master-data/cost-centers – Cost Center (G100): Lấy danh sách</t>
  </si>
  <si>
    <t>P3 Nhóm B – Giá, VAT, hợp đồng, tín dụng, free-bag (hạn 20/11)</t>
  </si>
  <si>
    <t>POST /api/sd/contracts/change – Hợp đồng bán hàng: Sửa HĐ</t>
  </si>
  <si>
    <t>POST /api/sd/contracts/approve – Hợp đồng bán hàng: Duyệt HĐ</t>
  </si>
  <si>
    <t>GET /api/customer-credits – Hạn mức tín dụng (KNKK): Lấy hạn mức tất cả KH</t>
  </si>
  <si>
    <t>GET /api/customer-credits/{customer} – Hạn mức tín dụng (KNKK): Lấy hạn mức 1 KH theo KKBER</t>
  </si>
  <si>
    <t>B.S</t>
  </si>
  <si>
    <t>ZRDM-004/005</t>
  </si>
  <si>
    <t>Spec giá: ZVLP/ZVDI (A990), ZVIV (A991), ZMIN (A912/A919) – khóa điều kiện, hiệu lực, release status, quy tắc trùng/overlap, test case nghiệp vụ</t>
  </si>
  <si>
    <t>Spec giá + bộ test case</t>
  </si>
  <si>
    <t>Spec được Tafico duyệt</t>
  </si>
  <si>
    <t>B.S2</t>
  </si>
  <si>
    <t>ZRDM-006/009</t>
  </si>
  <si>
    <t>Spec chi tiết chương trình free-bag "theo xe" và hợp đồng bán hàng (lấy/tạo hàng loạt) + test case</t>
  </si>
  <si>
    <t>Spec SD nhóm B + test case</t>
  </si>
  <si>
    <t>Hoàn thiện Z_ESD016 (bọc BAPI_PRICES_CONDITIONS): kiểm tra trùng/overlap A990/A991/A912/A919, release status, trả mã lỗi chuẩn, log SAP</t>
  </si>
  <si>
    <t>FM Z_ESD016 + transport</t>
  </si>
  <si>
    <t>Không tạo được bản ghi chồng hiệu lực</t>
  </si>
  <si>
    <t>Tách Z_ESD012 → Z_RDM_FREEGOODS_MAINTAIN: tạo/sửa/hủy hiệu lực chương trình free-bag, logic "theo xe"</t>
  </si>
  <si>
    <t>Kiểm tra trên VBN3 đúng</t>
  </si>
  <si>
    <t>POST /api/sd/freebag-programs – Chương trình free-bag: Tạo 1 chương trình</t>
  </si>
  <si>
    <t>POST /api/sd/freebag-programs/jobs/create – Chương trình free-bag: Tạo nhiều chương trình (job nền)</t>
  </si>
  <si>
    <t>POST /api/sd/freebag-programs/change – Chương trình free-bag: Sửa chương trình</t>
  </si>
  <si>
    <t>POST /api/sd/prices/check – Bảng giá (ZVLP/ZVDI/ZMIN/ZVIV): Kiểm tra tồn tại / trùng / overlap</t>
  </si>
  <si>
    <t>POST /api/sd/prices-bapi – Bảng giá: Tạo 1 bảng giá</t>
  </si>
  <si>
    <t>POST /api/sd/prices-bapi/jobs/create – Bảng giá: Tạo nhiều bảng giá (job nền)</t>
  </si>
  <si>
    <t>POST /api/sd/prices-bapi/change – Bảng giá: Sửa 1 bảng giá</t>
  </si>
  <si>
    <t>RFC Z_RDM_CONTRACT_GET: header/item/partner/điều kiện HĐ phục vụ xuất mẫu biểu + danh sách HĐ theo KH/ngày</t>
  </si>
  <si>
    <t>Đủ field theo mapping mẫu biểu</t>
  </si>
  <si>
    <t>RFC Z_RDM_FREEGOODS_GET: đọc chương trình free-bag (KOTN*/KONDN/KONDNS)</t>
  </si>
  <si>
    <t>Dữ liệu khớp VBN3</t>
  </si>
  <si>
    <t>POST /api/sd/prices-bapi/jobs/change – Bảng giá: Sửa nhiều bảng giá (job nền)</t>
  </si>
  <si>
    <t>POST /api/sd/prices-bapi/approve – Bảng giá: Duyệt 1 bảng giá</t>
  </si>
  <si>
    <t>POST /api/sd/prices-bapi/jobs/approve – Bảng giá: Duyệt nhiều bảng giá (job nền)</t>
  </si>
  <si>
    <t>POST /api/sd/prices-bapi/unapprove – Bảng giá: Bỏ duyệt 1 bảng giá</t>
  </si>
  <si>
    <t>POST /api/sd/prices-bapi/jobs/unapprove – Bảng giá: Bỏ duyệt nhiều bảng giá (job nền)</t>
  </si>
  <si>
    <t>POST /api/sd/prices-bapi/invalidate – Bảng giá: Hủy hiệu lực 1 bảng giá</t>
  </si>
  <si>
    <t>POST /api/sd/prices-bapi/jobs/invalidate – Bảng giá: Hủy hiệu lực nhiều bảng giá (job nền)</t>
  </si>
  <si>
    <t>POST /api/sd/prices/copy-with-vat – Bảng giá: Tạo bảng giá mới từ bảng giá cũ theo VAT%</t>
  </si>
  <si>
    <t>Tách Z_ESD013 → Z_RDM_CONTRACT_CREATE (bản RDM 2026, chế độ hàng loạt, trả kết quả từng dòng)</t>
  </si>
  <si>
    <t>Hàng loạt: lỗi dòng nào báo dòng đó</t>
  </si>
  <si>
    <t>GET /api/sd/prices – Bảng giá: Lấy bảng giá (lọc theo khóa điều kiện, hiệu lực)</t>
  </si>
  <si>
    <t>GET /api/sd/prices-bapi/jobs/{operation}/{requestId} – Job bảng giá: Trạng thái / kết quả job theo requestId</t>
  </si>
  <si>
    <t>POST /api/mm/material-tax-classification – Phân loại thuế vật tư (TAXM1): Cập nhật TAXM1 cho danh sách vật tư</t>
  </si>
  <si>
    <t>GET /api/mm/material-tax-classification – Phân loại thuế vật tư (TAXM1): Lấy TAXM1 theo vật tư</t>
  </si>
  <si>
    <t>GET /api/fi/tax-codes – Mã thuế GTGT: Lấy danh mục mã thuế &amp; thuế suất</t>
  </si>
  <si>
    <t>GET /api/sd/contracts – Hợp đồng bán hàng: Lấy danh sách HĐ theo KH/ngày</t>
  </si>
  <si>
    <t>GET /api/sd/contracts/{contractNo} – Hợp đồng bán hàng: Lấy chi tiết 1 HĐ để xuất mẫu biểu</t>
  </si>
  <si>
    <t>POST /api/sd/contracts – Hợp đồng bán hàng: Tạo 1 HĐ</t>
  </si>
  <si>
    <t>B.T</t>
  </si>
  <si>
    <t>ZRDM-004–009</t>
  </si>
  <si>
    <t>Test nhóm B: kịch bản trùng/overlap giá, VAT, HĐ, free-bag – bàn giao nhóm B</t>
  </si>
  <si>
    <t>Báo cáo test nhóm B</t>
  </si>
  <si>
    <t>API nhóm B</t>
  </si>
  <si>
    <t>100% test case pass – bàn giao 20/11</t>
  </si>
  <si>
    <t>POST /api/sd/contracts/jobs/create – Hợp đồng bán hàng: Tạo nhiều HĐ (job nền)</t>
  </si>
  <si>
    <t>POST /api/sd/freebag-programs/invalidate – Chương trình free-bag: Hủy hiệu lực chương trình</t>
  </si>
  <si>
    <t>GET /api/sd/freebag-programs – Chương trình free-bag: Lấy danh sách / chi tiết chương trình</t>
  </si>
  <si>
    <t>C.S</t>
  </si>
  <si>
    <t>P4 Nhóm C – HĐ free-bag, sản lượng, credit memo, FI chiết khấu (hạn 27/11)</t>
  </si>
  <si>
    <t>ZRDM-010/011/012</t>
  </si>
  <si>
    <t>Spec chi tiết HĐ free-bag, định nghĩa sản lượng tính CK, credit memo request + test case</t>
  </si>
  <si>
    <t>Spec SD nhóm C + test case</t>
  </si>
  <si>
    <t>ZRDM-013/016/019/020</t>
  </si>
  <si>
    <t>Khung FI chung Z_RDM_FI_POST (copy Z_EFI011): CK trực tiếp, CK TT trước, lãi quá hạn, accrual; nhánh quyết toán âm; đánh dấu chứng từ RDM (ZRDM_FI_DOC)</t>
  </si>
  <si>
    <t>FM RFC + bảng ZRDM_FI_DOC</t>
  </si>
  <si>
    <t>D.S2</t>
  </si>
  <si>
    <t>Định khoản đúng ma trận FI</t>
  </si>
  <si>
    <t>Z_RDM_FREEBAG_CONTRACT: tạo + nhánh cập nhật HĐ free-bag (tách từ hàm RDM 2022)</t>
  </si>
  <si>
    <t>Tạo &amp; sửa thành công</t>
  </si>
  <si>
    <t>POST /api/sd/freebag-contracts – HĐ free-bag: Tạo HĐ free-bag</t>
  </si>
  <si>
    <t>POST /api/sd/freebag-contracts/change – HĐ free-bag: Cập nhật HĐ free-bag (khi tồn thay đổi)</t>
  </si>
  <si>
    <t>GET /api/sd/freebag-contracts/{contractNo} – HĐ free-bag: Lấy chi tiết HĐ free-bag</t>
  </si>
  <si>
    <t>RFC Z_RDM_SALES_VOLUME_GET: sản lượng tính CK (VBRK/VBRP/LIPS), phân trang khối lượng lớn</t>
  </si>
  <si>
    <t>1 năm dữ liệu &lt; 60s/trang</t>
  </si>
  <si>
    <t>GET /api/sd/sales-volumes – Sản lượng tính chiết khấu: Lấy sản lượng (phân trang, theo KH/kỳ)</t>
  </si>
  <si>
    <t>POST /api/sd/sales-volumes/jobs/export – Sản lượng tính chiết khấu: Trích xuất khối lượng lớn (job nền)</t>
  </si>
  <si>
    <t>POST /api/fi/discount-postings/check – Bút toán CK trực tiếp: Kiểm tra trước khi hạch toán</t>
  </si>
  <si>
    <t>RFC Z_RDM_FREEBAG_PAID_GET: dữ liệu free-bag đã chi trả, phân trang</t>
  </si>
  <si>
    <t>Khớp báo cáo SO/DO</t>
  </si>
  <si>
    <t>GET /api/sd/freebag-payouts – Free-bag đã chi trả: Lấy dữ liệu free-bag đã chi trả (phân trang)</t>
  </si>
  <si>
    <t>POST /api/fi/discount-postings – Bút toán CK trực tiếp: Hạch toán (gồm quyết toán âm)</t>
  </si>
  <si>
    <t>Tách Z_ESD014 → Z_RDM_CMR_CREATE: 3 bước trong 1 LUW, lỗi bước nào rollback toàn bộ</t>
  </si>
  <si>
    <t>Rollback đúng khi lỗi</t>
  </si>
  <si>
    <t>POST /api/sd/credit-memo-requests – Credit memo request: Tạo yêu cầu giảm giá / cấn trừ công nợ</t>
  </si>
  <si>
    <t>GET /api/sd/credit-memo-requests/{docNo} – Credit memo request: Tra cứu trạng thái / chứng từ liên quan</t>
  </si>
  <si>
    <t>C.T</t>
  </si>
  <si>
    <t>ZRDM-010–013</t>
  </si>
  <si>
    <t>Test nhóm C: HĐ free-bag, sản lượng, credit memo, bút toán CK – bàn giao nhóm C</t>
  </si>
  <si>
    <t>Báo cáo test nhóm C</t>
  </si>
  <si>
    <t>API nhóm C</t>
  </si>
  <si>
    <t>100% test case pass – bàn giao 27/11</t>
  </si>
  <si>
    <t>D.S</t>
  </si>
  <si>
    <t>P5 Nhóm D – 3 báo cáo Z &amp; bút toán FI (hạn 27/11 – 30/11)</t>
  </si>
  <si>
    <t>ZRDM-014/017/023</t>
  </si>
  <si>
    <t>Spec 3 báo cáo Z: nguồn dữ liệu, công thức % CK thanh toán trước, lãi quá hạn (trường GAP), layout biên bản đối chiếu mẫu Fico-YTL</t>
  </si>
  <si>
    <t>FS 3 báo cáo</t>
  </si>
  <si>
    <t>FS được Tafico duyệt</t>
  </si>
  <si>
    <t>K.014</t>
  </si>
  <si>
    <t>ZRDM-014</t>
  </si>
  <si>
    <t>Z-Report CK thanh toán trước + bảng kết quả ZRDM_EPD, ALV, log SAP, chạy nền</t>
  </si>
  <si>
    <t>Report + bảng kết quả</t>
  </si>
  <si>
    <t>Số liệu khớp tính tay của kế toán</t>
  </si>
  <si>
    <t>Báo cáo Z (ABAP)</t>
  </si>
  <si>
    <t>ZRDM-013/016/019–022</t>
  </si>
  <si>
    <t>Spec chi tiết bút toán FI từng nghiệp vụ + bộ test case hạch toán (định khoản mẫu, số tiền, thuế)</t>
  </si>
  <si>
    <t>Spec FI + test case</t>
  </si>
  <si>
    <t>K.017</t>
  </si>
  <si>
    <t>ZRDM-017</t>
  </si>
  <si>
    <t>Z-Report tính lãi quá hạn + bảng kết quả ZRDM_ODI (lãi suất, trường GAP), ALV, log SAP</t>
  </si>
  <si>
    <t>RFC Z_RDM_EPD_GET: đọc kết quả CK TT trước (ZRDM_EPD)</t>
  </si>
  <si>
    <t>Khớp báo cáo 014</t>
  </si>
  <si>
    <t>RFC Z_RDM_ODI_GET: đọc kết quả lãi quá hạn (ZRDM_ODI)</t>
  </si>
  <si>
    <t>Khớp báo cáo 017</t>
  </si>
  <si>
    <t>K.023</t>
  </si>
  <si>
    <t>ZRDM-023</t>
  </si>
  <si>
    <t>Z-Report biên bản đối chiếu công nợ KH + form in (layout Fico-YTL)</t>
  </si>
  <si>
    <t>Report + form</t>
  </si>
  <si>
    <t>Layout đúng mẫu, số dư khớp FBL5N</t>
  </si>
  <si>
    <t>POST /api/fi/accruals/{docNo}/reverse – Bút toán trích trước (accrual): Hoàn nhập 1 chứng từ khi sai sót</t>
  </si>
  <si>
    <t>POST /api/fi/accruals/auto-reverse/run – Hoàn nhập tự động đầu kỳ: Chạy hoàn nhập tự động (thủ công / Hangfire)</t>
  </si>
  <si>
    <t>GET /api/fi/early-payment-discounts – CK thanh toán trước: Lấy danh sách kết quả tính</t>
  </si>
  <si>
    <t>POST /api/fi/early-payment-discount-postings/check – Bút toán CK thanh toán trước: Kiểm tra trước khi hạch toán</t>
  </si>
  <si>
    <t>POST /api/fi/early-payment-discount-postings – Bút toán CK thanh toán trước: Hạch toán</t>
  </si>
  <si>
    <t>POST /api/fi/overdue-interest-postings/check – Bút toán lãi quá hạn: Kiểm tra trước khi hạch toán</t>
  </si>
  <si>
    <t>D.T</t>
  </si>
  <si>
    <t>ZRDM-014–024</t>
  </si>
  <si>
    <t>Test nhóm D: 3 báo cáo Z (đối chiếu FBL5N/FD10N) + API &amp; bút toán FI</t>
  </si>
  <si>
    <t>Báo cáo test nhóm D</t>
  </si>
  <si>
    <t>Nhóm D</t>
  </si>
  <si>
    <t>Kế toán xác nhận số liệu – bàn giao 27–30/11</t>
  </si>
  <si>
    <t>GET /api/fi/early-payment-discounts/{customer} – CK thanh toán trước: Lấy chi tiết theo KH/kỳ</t>
  </si>
  <si>
    <t>GET /api/fi/overdue-interests – Lãi quá hạn: Lấy danh sách kết quả tính</t>
  </si>
  <si>
    <t>GET /api/fi/overdue-interests/{customer} – Lãi quá hạn: Lấy chi tiết theo KH/kỳ</t>
  </si>
  <si>
    <t>POST /api/fi/overdue-interest-postings – Bút toán lãi quá hạn: Hạch toán</t>
  </si>
  <si>
    <t>POST /api/fi/accruals/check – Bút toán trích trước (accrual): Kiểm tra trước khi hạch toán</t>
  </si>
  <si>
    <t>POST /api/fi/accruals – Bút toán trích trước (accrual): Hạch toán trích trước</t>
  </si>
  <si>
    <t>GET /api/fi/accruals – Bút toán trích trước (accrual): Tra cứu chứng từ trích trước do RDM tạo</t>
  </si>
  <si>
    <t>GET /api/fi/accruals/auto-reverse/runs – Hoàn nhập tự động đầu kỳ: Lịch sử &amp; kết quả các lần chạy</t>
  </si>
  <si>
    <t>GET /api/fi/ar-statements – Biên bản đối chiếu công nợ: Lấy danh sách KH có biên bản theo kỳ</t>
  </si>
  <si>
    <t>GET /api/fi/ar-statements/{customer} – Biên bản đối chiếu công nợ: Lấy chi tiết biên bản 1 KH/kỳ</t>
  </si>
  <si>
    <t>POST /api/fi/ar-statements/jobs/export – Biên bản đối chiếu công nợ: Trích xuất hàng loạt theo kỳ (job nền)</t>
  </si>
  <si>
    <t>RFC Z_RDM_AR_STMT_GET: dữ liệu biên bản đối chiếu công nợ theo KH/kỳ</t>
  </si>
  <si>
    <t>Khớp báo cáo 023</t>
  </si>
  <si>
    <t>6.1</t>
  </si>
  <si>
    <t>P6 Test tích hợp, hiệu năng, UAT</t>
  </si>
  <si>
    <t>Unit test tổng (xUnit + FluentAssertions, ≥70% tầng Application), test bảo mật JWT/phân quyền, test logging 2 phía</t>
  </si>
  <si>
    <t>Báo cáo unit/security test</t>
  </si>
  <si>
    <t>API các nhóm</t>
  </si>
  <si>
    <t>Pass 100%, coverage đạt</t>
  </si>
  <si>
    <t>6.2</t>
  </si>
  <si>
    <t>SIT end-to-end RDM ↔ API ↔ SAP: kịch bản nghiệp vụ, đối soát chứng từ (FB03/VA03/VK13), đối chiếu SLG1 ↔ SapCallLog theo Correlation-Id</t>
  </si>
  <si>
    <t>Biên bản SIT</t>
  </si>
  <si>
    <t>6.1, D.T</t>
  </si>
  <si>
    <t>6.3</t>
  </si>
  <si>
    <t>001, 011, 024</t>
  </si>
  <si>
    <t>Test hiệu năng: sync master data, sản lượng (011), đối chiếu công nợ (024); test tải đồng thời</t>
  </si>
  <si>
    <t>Báo cáo hiệu năng</t>
  </si>
  <si>
    <t>Đạt ngưỡng thời gian đã chốt</t>
  </si>
  <si>
    <t>6.4</t>
  </si>
  <si>
    <t>UAT với người dùng Tafico + sửa lỗi</t>
  </si>
  <si>
    <t>Biên bản UAT ký</t>
  </si>
  <si>
    <t>Biên bản UAT được ký</t>
  </si>
  <si>
    <t>7.2K</t>
  </si>
  <si>
    <t>P7 Tài liệu, transport, go-live</t>
  </si>
  <si>
    <t>TS 3 báo cáo Z</t>
  </si>
  <si>
    <t>TS báo cáo</t>
  </si>
  <si>
    <t>Đủ TS</t>
  </si>
  <si>
    <t>Tài liệu &amp; go-live</t>
  </si>
  <si>
    <t>7.2</t>
  </si>
  <si>
    <t>Tài liệu kỹ thuật ABAP (TS) cho mọi FM/Report + thiết kế logging SAP</t>
  </si>
  <si>
    <t>TS ABAP</t>
  </si>
  <si>
    <t>Đủ TS cho mọi object ABAP</t>
  </si>
  <si>
    <t>7.4</t>
  </si>
  <si>
    <t>B, C, D</t>
  </si>
  <si>
    <t>Tài liệu nghiệp vụ &amp; hướng dẫn sử dụng: 3 báo cáo Z, bút toán FI, luồng giá/khuyến mại</t>
  </si>
  <si>
    <t>User guide</t>
  </si>
  <si>
    <t>Người dùng xác nhận</t>
  </si>
  <si>
    <t>7.1</t>
  </si>
  <si>
    <t>Tài liệu API: OpenAPI/Swagger, hướng dẫn tích hợp cho RDM, bảng mã lỗi, ví dụ request/response từng API</t>
  </si>
  <si>
    <t>API Integration Guide</t>
  </si>
  <si>
    <t>RDM tích hợp được không cần hỏi thêm</t>
  </si>
  <si>
    <t>7.3</t>
  </si>
  <si>
    <t>Tài liệu kiến trúc, vận hành, deploy, runbook sự cố</t>
  </si>
  <si>
    <t>Ops guide + runbook</t>
  </si>
  <si>
    <t>Vận hành tự deploy được</t>
  </si>
  <si>
    <t>7.5</t>
  </si>
  <si>
    <t>Transport QAS → PRD, deploy API PRD, khóa ký JWT PRD, user RFC PRD, job Hangfire</t>
  </si>
  <si>
    <t>Checklist go-live</t>
  </si>
  <si>
    <t>Smoke test PRD đạt</t>
  </si>
  <si>
    <t>7.6</t>
  </si>
  <si>
    <t>Go-live, hypercare, bàn giao source code &amp; tài liệu, nghiệm thu</t>
  </si>
  <si>
    <t>Biên bản bàn giao</t>
  </si>
  <si>
    <t>Biên bản nghiệm thu</t>
  </si>
  <si>
    <t>TỔNG CÔNG</t>
  </si>
  <si>
    <t>GANTT – 29/10/2026 → 07/12/2026</t>
  </si>
  <si>
    <t>Màu theo người chủ trì: Tuấn xanh dương · Nam xanh lá · Khang vàng · Sơn đỏ · Hằng tím. Cột xám = thứ Bảy (OT). Ngày lấy từ sheet WBS (sửa WBS → Gantt tự đổi)</t>
  </si>
  <si>
    <t>T5</t>
  </si>
  <si>
    <t>T6</t>
  </si>
  <si>
    <t>T7</t>
  </si>
  <si>
    <t>T2</t>
  </si>
  <si>
    <t>T3</t>
  </si>
  <si>
    <t>T4</t>
  </si>
  <si>
    <t>Kickoff: chốt phạm vi 24 đối tượng, kế hoạch 40 ngày, quy trình duyệt spec &amp; change reques</t>
  </si>
  <si>
    <t>Kiểm tra môi trường: user RFC DEV930 (S_RFC, S_TCODE), NCo 3.1, SQL Server, server API, qu</t>
  </si>
  <si>
    <t>Workshop SD: chốt open point (loại xe = CG3?, chiều VAT, logic "theo xe", định nghĩa sản l</t>
  </si>
  <si>
    <t>Workshop FI: ma trận bút toán (doc type, posting key, tài khoản, đối tượng CO), quyết toán</t>
  </si>
  <si>
    <t>GET /api/auth/users – Danh sách user</t>
  </si>
  <si>
    <t>GET /api/postings/{id} – Tra cứu theo Id</t>
  </si>
  <si>
    <t>GET /api/postings/{operation}/{requestId} – Tra cứu theo requestId</t>
  </si>
  <si>
    <t>GET /api/postings – Tìm kiếm danh sách</t>
  </si>
  <si>
    <t>GET /api/sap/ping – Kiểm tra kết nối</t>
  </si>
  <si>
    <t>Chuẩn ABAP: template FM RFC (RETURN, COMMIT/ROLLBACK, gọi log), quy ước đặt tên, code revi</t>
  </si>
  <si>
    <t xml:space="preserve">Thiết kế kiến trúc: chuẩn REST (resource/hành động, paging, ProblemDetails), bảng mã lỗi, </t>
  </si>
  <si>
    <t>Logging SAP: bảng ZRDM_API_LOG (header) + ZRDM_API_LOGI (message), BAL object ZRDM / subob</t>
  </si>
  <si>
    <t>JWT: cấp/refresh token, role, phạm vi dữ liệu theo đối tác (sửa lỗi KH thấy full data), xo</t>
  </si>
  <si>
    <t>Report ZRDM_LOG_VIEW (lọc SOW/ngày/user/Correlation-Id/trạng thái) + job dọn log quá hạn (</t>
  </si>
  <si>
    <t>Logging API: Serilog (file + SQL), Correlation-Id xuyên suốt và truyền sang SAP, rdm.SapCa</t>
  </si>
  <si>
    <t>POST /api/auth/token – Cấp token JWT</t>
  </si>
  <si>
    <t>POST /api/auth/refresh – Làm mới token (refresh)</t>
  </si>
  <si>
    <t>GET /api/auth/me – Thông tin user hiện tại + phạm vi dữ liệu</t>
  </si>
  <si>
    <t>PUT /api/auth/users/{username} – Tạo/sửa user, role, phạm vi đối tác</t>
  </si>
  <si>
    <t>GET /api/admin/sap-calls – Danh sách log gọi SAP</t>
  </si>
  <si>
    <t>GET /api/admin/sap-calls/{id} – Chi tiết 1 lần gọi</t>
  </si>
  <si>
    <t>GET /api/admin/sap-logs – Danh sách log SAP (ZRDM_API_LOG)</t>
  </si>
  <si>
    <t>GET /api/admin/sap-logs/{correlationId} – Log SAP theo Correlation-Id</t>
  </si>
  <si>
    <t>RFC Z_RDM_CUST_DELTA_GET: Sold-to/Ship-to + quan hệ KNVP thay đổi từ ngày (CDHDR/CDPOS), p</t>
  </si>
  <si>
    <t>POST /api/master-data/sold-to/sync – Đồng bộ từ SAP (full + delta)</t>
  </si>
  <si>
    <t>GET /api/master-data/sold-to – Lấy danh sách (lọc, phân trang, changedSince)</t>
  </si>
  <si>
    <t>GET /api/master-data/sold-to/{customer} – Lấy chi tiết 1 KH</t>
  </si>
  <si>
    <t>POST /api/master-data/ship-to/sync – Đồng bộ từ SAP (full + delta)</t>
  </si>
  <si>
    <t>GET /api/master-data/ship-to – Lấy danh sách</t>
  </si>
  <si>
    <t>GET /api/master-data/ship-to/{customer} – Lấy chi tiết 1 ship-to</t>
  </si>
  <si>
    <t>POST /api/master-data/sold-to-ship-to/sync – Đồng bộ từ SAP</t>
  </si>
  <si>
    <t>GET /api/master-data/sold-to-ship-to – Lấy danh sách</t>
  </si>
  <si>
    <t>POST /api/master-data/sales-orgs/sync – Đồng bộ từ SAP</t>
  </si>
  <si>
    <t>GET /api/master-data/sales-orgs – Lấy danh sách</t>
  </si>
  <si>
    <t>POST /api/master-data/distribution-channels/sync – Đồng bộ từ SAP</t>
  </si>
  <si>
    <t>GET /api/master-data/distribution-channels – Lấy danh sách</t>
  </si>
  <si>
    <t>POST /api/master-data/sales-offices/sync – Đồng bộ từ SAP</t>
  </si>
  <si>
    <t>GET /api/master-data/sales-offices – Lấy danh sách</t>
  </si>
  <si>
    <t>POST /api/master-data/sales-districts/sync – Đồng bộ từ SAP</t>
  </si>
  <si>
    <t>GET /api/master-data/sales-districts – Lấy danh sách</t>
  </si>
  <si>
    <t>POST /api/master-data/shipping-conditions/sync – Đồng bộ từ SAP</t>
  </si>
  <si>
    <t>GET /api/master-data/shipping-conditions – Lấy danh sách</t>
  </si>
  <si>
    <t>POST /api/master-data/payment-methods/sync – Đồng bộ từ SAP</t>
  </si>
  <si>
    <t>GET /api/master-data/payment-methods – Lấy danh sách</t>
  </si>
  <si>
    <t>POST /api/master-data/vehicle-types/sync – Đồng bộ từ SAP</t>
  </si>
  <si>
    <t>GET /api/master-data/vehicle-types – Lấy danh sách</t>
  </si>
  <si>
    <t>POST /api/master-data/customer-groups-3/sync – Đồng bộ từ SAP</t>
  </si>
  <si>
    <t>GET /api/master-data/customer-groups-3 – Lấy danh sách</t>
  </si>
  <si>
    <t>GET /api/master-data/sales-office-assignments – Lấy gán Sales Office ↔ Sales Org/kênh/ngành</t>
  </si>
  <si>
    <t>POST /api/master-data/sync-all – Đồng bộ tất cả (job)</t>
  </si>
  <si>
    <t>GET /api/master-data/sync-runs – Lịch sử các lần đồng bộ</t>
  </si>
  <si>
    <t>POST /api/master-data/materials/sync – Đồng bộ từ SAP</t>
  </si>
  <si>
    <t>GET /api/master-data/materials – Lấy danh sách (tên EN/VN, ĐVT)</t>
  </si>
  <si>
    <t>GET /api/master-data/materials/{material} – Lấy chi tiết 1 vật tư</t>
  </si>
  <si>
    <t>POST /api/master-data/material-groups/sync – Đồng bộ từ SAP</t>
  </si>
  <si>
    <t>GET /api/master-data/material-groups – Lấy danh sách</t>
  </si>
  <si>
    <t>POST /api/master-data/material-types/sync – Đồng bộ từ SAP</t>
  </si>
  <si>
    <t>GET /api/master-data/material-types – Lấy danh sách</t>
  </si>
  <si>
    <t>POST /api/master-data/divisions/sync – Đồng bộ từ SAP</t>
  </si>
  <si>
    <t>GET /api/master-data/divisions – Lấy danh sách</t>
  </si>
  <si>
    <t>POST /api/master-data/plants/sync – Đồng bộ từ SAP</t>
  </si>
  <si>
    <t>GET /api/master-data/plants – Lấy danh sách</t>
  </si>
  <si>
    <t>POST /api/master-data/gl-accounts/sync – Đồng bộ + đối soát khóa/xóa</t>
  </si>
  <si>
    <t>GET /api/master-data/gl-accounts – Lấy danh sách</t>
  </si>
  <si>
    <t>POST /api/master-data/cost-centers/sync – Đồng bộ + đối soát khóa/xóa</t>
  </si>
  <si>
    <t>GET /api/master-data/cost-centers – Lấy danh sách</t>
  </si>
  <si>
    <t>POST /api/sd/contracts/change – Sửa HĐ</t>
  </si>
  <si>
    <t>POST /api/sd/contracts/approve – Duyệt HĐ</t>
  </si>
  <si>
    <t>GET /api/customer-credits – Lấy hạn mức tất cả KH</t>
  </si>
  <si>
    <t>GET /api/customer-credits/{customer} – Lấy hạn mức 1 KH theo KKBER</t>
  </si>
  <si>
    <t>Spec giá: ZVLP/ZVDI (A990), ZVIV (A991), ZMIN (A912/A919) – khóa điều kiện, hiệu lực, rele</t>
  </si>
  <si>
    <t>Spec chi tiết chương trình free-bag "theo xe" và hợp đồng bán hàng (lấy/tạo hàng loạt) + t</t>
  </si>
  <si>
    <t>Hoàn thiện Z_ESD016 (bọc BAPI_PRICES_CONDITIONS): kiểm tra trùng/overlap A990/A991/A912/A9</t>
  </si>
  <si>
    <t>Tách Z_ESD012 → Z_RDM_FREEGOODS_MAINTAIN: tạo/sửa/hủy hiệu lực chương trình free-bag, logi</t>
  </si>
  <si>
    <t>POST /api/sd/freebag-programs – Tạo 1 chương trình</t>
  </si>
  <si>
    <t>POST /api/sd/freebag-programs/jobs/create – Tạo nhiều chương trình (job nền)</t>
  </si>
  <si>
    <t>POST /api/sd/freebag-programs/change – Sửa chương trình</t>
  </si>
  <si>
    <t>POST /api/sd/prices/check – Kiểm tra tồn tại / trùng / overlap</t>
  </si>
  <si>
    <t>POST /api/sd/prices-bapi – Tạo 1 bảng giá</t>
  </si>
  <si>
    <t>POST /api/sd/prices-bapi/jobs/create – Tạo nhiều bảng giá (job nền)</t>
  </si>
  <si>
    <t>POST /api/sd/prices-bapi/change – Sửa 1 bảng giá</t>
  </si>
  <si>
    <t>RFC Z_RDM_CONTRACT_GET: header/item/partner/điều kiện HĐ phục vụ xuất mẫu biểu + danh sách</t>
  </si>
  <si>
    <t>POST /api/sd/prices-bapi/jobs/change – Sửa nhiều bảng giá (job nền)</t>
  </si>
  <si>
    <t>POST /api/sd/prices-bapi/approve – Duyệt 1 bảng giá</t>
  </si>
  <si>
    <t>POST /api/sd/prices-bapi/jobs/approve – Duyệt nhiều bảng giá (job nền)</t>
  </si>
  <si>
    <t>POST /api/sd/prices-bapi/unapprove – Bỏ duyệt 1 bảng giá</t>
  </si>
  <si>
    <t>POST /api/sd/prices-bapi/jobs/unapprove – Bỏ duyệt nhiều bảng giá (job nền)</t>
  </si>
  <si>
    <t>POST /api/sd/prices-bapi/invalidate – Hủy hiệu lực 1 bảng giá</t>
  </si>
  <si>
    <t>POST /api/sd/prices-bapi/jobs/invalidate – Hủy hiệu lực nhiều bảng giá (job nền)</t>
  </si>
  <si>
    <t>POST /api/sd/prices/copy-with-vat – Tạo bảng giá mới từ bảng giá cũ theo VAT%</t>
  </si>
  <si>
    <t>Tách Z_ESD013 → Z_RDM_CONTRACT_CREATE (bản RDM 2026, chế độ hàng loạt, trả kết quả từng dò</t>
  </si>
  <si>
    <t>GET /api/sd/prices – Lấy bảng giá (lọc theo khóa điều kiện, hiệu lực)</t>
  </si>
  <si>
    <t>GET /api/sd/prices-bapi/jobs/{operation}/{requestId} – Trạng thái / kết quả job theo requestId</t>
  </si>
  <si>
    <t>POST /api/mm/material-tax-classification – Cập nhật TAXM1 cho danh sách vật tư</t>
  </si>
  <si>
    <t>GET /api/mm/material-tax-classification – Lấy TAXM1 theo vật tư</t>
  </si>
  <si>
    <t>GET /api/fi/tax-codes – Lấy danh mục mã thuế &amp; thuế suất</t>
  </si>
  <si>
    <t>GET /api/sd/contracts – Lấy danh sách HĐ theo KH/ngày</t>
  </si>
  <si>
    <t>GET /api/sd/contracts/{contractNo} – Lấy chi tiết 1 HĐ để xuất mẫu biểu</t>
  </si>
  <si>
    <t>POST /api/sd/contracts – Tạo 1 HĐ</t>
  </si>
  <si>
    <t>POST /api/sd/contracts/jobs/create – Tạo nhiều HĐ (job nền)</t>
  </si>
  <si>
    <t>POST /api/sd/freebag-programs/invalidate – Hủy hiệu lực chương trình</t>
  </si>
  <si>
    <t>GET /api/sd/freebag-programs – Lấy danh sách / chi tiết chương trình</t>
  </si>
  <si>
    <t>Khung FI chung Z_RDM_FI_POST (copy Z_EFI011): CK trực tiếp, CK TT trước, lãi quá hạn, accr</t>
  </si>
  <si>
    <t>POST /api/sd/freebag-contracts – Tạo HĐ free-bag</t>
  </si>
  <si>
    <t>POST /api/sd/freebag-contracts/change – Cập nhật HĐ free-bag (khi tồn thay đổi)</t>
  </si>
  <si>
    <t>GET /api/sd/freebag-contracts/{contractNo} – Lấy chi tiết HĐ free-bag</t>
  </si>
  <si>
    <t>GET /api/sd/sales-volumes – Lấy sản lượng (phân trang, theo KH/kỳ)</t>
  </si>
  <si>
    <t>POST /api/sd/sales-volumes/jobs/export – Trích xuất khối lượng lớn (job nền)</t>
  </si>
  <si>
    <t>POST /api/fi/discount-postings/check – Kiểm tra trước khi hạch toán</t>
  </si>
  <si>
    <t>GET /api/sd/freebag-payouts – Lấy dữ liệu free-bag đã chi trả (phân trang)</t>
  </si>
  <si>
    <t>POST /api/fi/discount-postings – Hạch toán (gồm quyết toán âm)</t>
  </si>
  <si>
    <t>POST /api/sd/credit-memo-requests – Tạo yêu cầu giảm giá / cấn trừ công nợ</t>
  </si>
  <si>
    <t>GET /api/sd/credit-memo-requests/{docNo} – Tra cứu trạng thái / chứng từ liên quan</t>
  </si>
  <si>
    <t>Spec 3 báo cáo Z: nguồn dữ liệu, công thức % CK thanh toán trước, lãi quá hạn (trường GAP)</t>
  </si>
  <si>
    <t>Spec chi tiết bút toán FI từng nghiệp vụ + bộ test case hạch toán (định khoản mẫu, số tiền</t>
  </si>
  <si>
    <t>POST /api/fi/accruals/{docNo}/reverse – Hoàn nhập 1 chứng từ khi sai sót</t>
  </si>
  <si>
    <t>POST /api/fi/accruals/auto-reverse/run – Chạy hoàn nhập tự động (thủ công / Hangfire)</t>
  </si>
  <si>
    <t>GET /api/fi/early-payment-discounts – Lấy danh sách kết quả tính</t>
  </si>
  <si>
    <t>POST /api/fi/early-payment-discount-postings/check – Kiểm tra trước khi hạch toán</t>
  </si>
  <si>
    <t>POST /api/fi/early-payment-discount-postings – Hạch toán</t>
  </si>
  <si>
    <t>POST /api/fi/overdue-interest-postings/check – Kiểm tra trước khi hạch toán</t>
  </si>
  <si>
    <t>GET /api/fi/early-payment-discounts/{customer} – Lấy chi tiết theo KH/kỳ</t>
  </si>
  <si>
    <t>GET /api/fi/overdue-interests – Lấy danh sách kết quả tính</t>
  </si>
  <si>
    <t>GET /api/fi/overdue-interests/{customer} – Lấy chi tiết theo KH/kỳ</t>
  </si>
  <si>
    <t>POST /api/fi/overdue-interest-postings – Hạch toán</t>
  </si>
  <si>
    <t>POST /api/fi/accruals/check – Kiểm tra trước khi hạch toán</t>
  </si>
  <si>
    <t>POST /api/fi/accruals – Hạch toán trích trước</t>
  </si>
  <si>
    <t>GET /api/fi/accruals – Tra cứu chứng từ trích trước do RDM tạo</t>
  </si>
  <si>
    <t>GET /api/fi/accruals/auto-reverse/runs – Lịch sử &amp; kết quả các lần chạy</t>
  </si>
  <si>
    <t>GET /api/fi/ar-statements – Lấy danh sách KH có biên bản theo kỳ</t>
  </si>
  <si>
    <t>GET /api/fi/ar-statements/{customer} – Lấy chi tiết biên bản 1 KH/kỳ</t>
  </si>
  <si>
    <t>POST /api/fi/ar-statements/jobs/export – Trích xuất hàng loạt theo kỳ (job nền)</t>
  </si>
  <si>
    <t>Unit test tổng (xUnit + FluentAssertions, ≥70% tầng Application), test bảo mật JWT/phân qu</t>
  </si>
  <si>
    <t>SIT end-to-end RDM ↔ API ↔ SAP: kịch bản nghiệp vụ, đối soát chứng từ (FB03/VA03/VK13), đố</t>
  </si>
  <si>
    <t xml:space="preserve">Test hiệu năng: sync master data, sản lượng (011), đối chiếu công nợ (024); test tải đồng </t>
  </si>
  <si>
    <t>Tài liệu API: OpenAPI/Swagger, hướng dẫn tích hợp cho RDM, bảng mã lỗi, ví dụ request/resp</t>
  </si>
  <si>
    <t>PHÂN BỔ NGUỒN LỰC THEO TUẦN (ngày công)</t>
  </si>
  <si>
    <t>Năng lực chuẩn = số ngày T2–T6 trong tuần; phần vượt = làm thêm thứ Bảy. Số liệu tính từ lịch xếp tự động (v1.0)</t>
  </si>
  <si>
    <t xml:space="preserve">Tuần 1
29/10–31/10</t>
  </si>
  <si>
    <t xml:space="preserve">Tuần 2
02/11–07/11</t>
  </si>
  <si>
    <t xml:space="preserve">Tuần 3
09/11–14/11</t>
  </si>
  <si>
    <t xml:space="preserve">Tuần 4
16/11–21/11</t>
  </si>
  <si>
    <t xml:space="preserve">Tuần 5
23/11–28/11</t>
  </si>
  <si>
    <t xml:space="preserve">Tuần 6
30/11–05/12</t>
  </si>
  <si>
    <t xml:space="preserve">Tuần 7
07/12–07/12</t>
  </si>
  <si>
    <t>Năng lực chuẩn (ngày)</t>
  </si>
  <si>
    <t>Vượt năng lực chuẩn – có OT thứ Bảy</t>
  </si>
  <si>
    <t>Tải 80–100%</t>
  </si>
  <si>
    <t>Tải 30–80% (tư vấn bán thời gian)</t>
  </si>
  <si>
    <t>MA TRẬN RACI THEO 24 ĐỐI TƯỢNG SOW</t>
  </si>
  <si>
    <t>R = thực hiện · A = chịu trách nhiệm cuối · C = tư vấn/duyệt spec · I = được thông báo</t>
  </si>
  <si>
    <t>Nghiệp vụ</t>
  </si>
  <si>
    <t>Số API</t>
  </si>
  <si>
    <t>Ghi chú</t>
  </si>
  <si>
    <t>Danh mục KH &amp; cơ cấu bán hàng</t>
  </si>
  <si>
    <t>A,R</t>
  </si>
  <si>
    <t>R</t>
  </si>
  <si>
    <t>I</t>
  </si>
  <si>
    <t>Delta Sold-to/Ship-to cần RFC Z</t>
  </si>
  <si>
    <t>Danh mục vật tư</t>
  </si>
  <si>
    <t>Danh mục TK kế toán &amp; cost center</t>
  </si>
  <si>
    <t>COA 1000, CO area G100</t>
  </si>
  <si>
    <t>Điều kiện giá (niêm yết, sàn, nội bộ)</t>
  </si>
  <si>
    <t>Kiểm tra trùng/overlap</t>
  </si>
  <si>
    <t>Thuế suất GTGT</t>
  </si>
  <si>
    <t>Chốt chiều ghi thuế</t>
  </si>
  <si>
    <t>Hạn mức tín dụng</t>
  </si>
  <si>
    <t>Classic/FSCM</t>
  </si>
  <si>
    <t>ZRDM-008</t>
  </si>
  <si>
    <t>Bảo lãnh ngân hàng</t>
  </si>
  <si>
    <t>Không dùng (SOW v1.1)</t>
  </si>
  <si>
    <t>Logic "theo xe"</t>
  </si>
  <si>
    <t>Sale contract free-bag</t>
  </si>
  <si>
    <t>Nhánh cập nhật</t>
  </si>
  <si>
    <t>Sản lượng tính CK &amp; free-bag đã chi trả</t>
  </si>
  <si>
    <t>Phân trang khối lượng lớn</t>
  </si>
  <si>
    <t>3 bước 1 lần gọi</t>
  </si>
  <si>
    <t>Bút toán CK trực tiếp / FI</t>
  </si>
  <si>
    <t>Quyết toán âm</t>
  </si>
  <si>
    <t>Z-Report CK thanh toán trước</t>
  </si>
  <si>
    <t>Z-Report</t>
  </si>
  <si>
    <t>API lấy CK thanh toán trước</t>
  </si>
  <si>
    <t>RFC do Khang</t>
  </si>
  <si>
    <t>Hạch toán CK thanh toán trước</t>
  </si>
  <si>
    <t>Khung FI chung</t>
  </si>
  <si>
    <t>Z-Report lãi quá hạn</t>
  </si>
  <si>
    <t>Trường GAP</t>
  </si>
  <si>
    <t>API lấy lãi quá hạn</t>
  </si>
  <si>
    <t>Hạch toán lãi quá hạn</t>
  </si>
  <si>
    <t>Hạch toán trích trước (accrual)</t>
  </si>
  <si>
    <t>Hoàn nhập accrual khi sai</t>
  </si>
  <si>
    <t>Chỉ chứng từ qua RDM</t>
  </si>
  <si>
    <t>Tự động hoàn nhập đầu kỳ</t>
  </si>
  <si>
    <t>Job Hangfire</t>
  </si>
  <si>
    <t>Z-Report biên bản đối chiếu công nợ</t>
  </si>
  <si>
    <t>Layout Fico-YTL</t>
  </si>
  <si>
    <t>API data biên bản đối chiếu</t>
  </si>
  <si>
    <t>Ký số/Websale ngoài phạm vi</t>
  </si>
  <si>
    <t>KẾ HOẠCH KIỂM THỬ</t>
  </si>
  <si>
    <t>Mỗi API tối thiểu: 1 case đúng, 1 case lỗi nghiệp vụ, 1 case phân quyền (401/403); API ghi thêm 1 case gửi trùng requestId</t>
  </si>
  <si>
    <t>Cấp độ test</t>
  </si>
  <si>
    <t>Phạm vi</t>
  </si>
  <si>
    <t>Công cụ / môi trường</t>
  </si>
  <si>
    <t>Người duyệt</t>
  </si>
  <si>
    <t>Tiêu chí đạt</t>
  </si>
  <si>
    <t>Số case (ước)</t>
  </si>
  <si>
    <t>Unit test .NET</t>
  </si>
  <si>
    <t>Tầng Application/Sap: validate, mapping, idempotency, chuyển mã lỗi</t>
  </si>
  <si>
    <t>xUnit + FluentAssertions, CI build</t>
  </si>
  <si>
    <t>Tuấn, Nam</t>
  </si>
  <si>
    <t>Liên tục, chốt 25–28/11</t>
  </si>
  <si>
    <t>100% pass, coverage ≥ 70% Application</t>
  </si>
  <si>
    <t>Unit test ABAP</t>
  </si>
  <si>
    <t>FM RFC, khung FI, kiểm tra overlap giá, logging SAP</t>
  </si>
  <si>
    <t>ABAP Unit / SE37 test data, DEV930</t>
  </si>
  <si>
    <t>Nam, Khang</t>
  </si>
  <si>
    <t>Theo từng object</t>
  </si>
  <si>
    <t>Pass trên test data chuẩn</t>
  </si>
  <si>
    <t>Integration (API ↔ SAP DEV930)</t>
  </si>
  <si>
    <t>Từng API gọi thật SAP DEV930</t>
  </si>
  <si>
    <t>Swagger internal, Postman collection</t>
  </si>
  <si>
    <t>Cuối mỗi nhóm A/B/C/D</t>
  </si>
  <si>
    <t>Đúng dữ liệu, chứng từ đúng định khoản</t>
  </si>
  <si>
    <t>Test nghiệp vụ nhóm (A/B/C/D)</t>
  </si>
  <si>
    <t>Kịch bản theo spec của Hằng/Sơn</t>
  </si>
  <si>
    <t>DEV930 + đối soát FB03/VA03/VK13/FBL5N</t>
  </si>
  <si>
    <t>Tuấn, Nam, Khang</t>
  </si>
  <si>
    <t>Hằng (SD), Sơn (FI)</t>
  </si>
  <si>
    <t>13/11, 20/11, 27/11, 30/11</t>
  </si>
  <si>
    <t>100% case pass trước bàn giao</t>
  </si>
  <si>
    <t>Test 3 báo cáo Z</t>
  </si>
  <si>
    <t>EPD, lãi quá hạn, đối chiếu công nợ</t>
  </si>
  <si>
    <t>So khớp tính tay của kế toán, FBL5N/FD10N</t>
  </si>
  <si>
    <t>25–30/11</t>
  </si>
  <si>
    <t>Test bảo mật</t>
  </si>
  <si>
    <t>JWT (sai chữ ký, hết hạn, refresh), role, phạm vi dữ liệu theo đối tác, Swagger internal chỉ localhost</t>
  </si>
  <si>
    <t>Postman, script tự động</t>
  </si>
  <si>
    <t>28/11–01/12</t>
  </si>
  <si>
    <t>Không truy cập chéo dữ liệu; 401/403 đúng</t>
  </si>
  <si>
    <t>Test logging 2 phía</t>
  </si>
  <si>
    <t>Correlation-Id API → SAP; SapCallLog ↔ ZRDM_API_LOG ↔ SLG1</t>
  </si>
  <si>
    <t>ZRDM_LOG_VIEW, /api/admin/sap-logs</t>
  </si>
  <si>
    <t>Trong SIT</t>
  </si>
  <si>
    <t>100% lời gọi ghi được log 2 phía</t>
  </si>
  <si>
    <t>Test chống trùng / lỗi kết nối</t>
  </si>
  <si>
    <t>Gửi trùng requestId, ngắt SAP giữa chừng (Unknown), timeout</t>
  </si>
  <si>
    <t>Script + tắt RFC destination</t>
  </si>
  <si>
    <t>Không sinh chứng từ trùng</t>
  </si>
  <si>
    <t>Test hiệu năng</t>
  </si>
  <si>
    <t>Sync master data, sản lượng (011), đối chiếu công nợ (024)</t>
  </si>
  <si>
    <t>k6 / script, dữ liệu 1 năm</t>
  </si>
  <si>
    <t>01–02/12</t>
  </si>
  <si>
    <t>Ngưỡng thời gian đã chốt</t>
  </si>
  <si>
    <t>SIT end-to-end</t>
  </si>
  <si>
    <t>RDM ↔ API ↔ SAP theo quy trình nghiệp vụ</t>
  </si>
  <si>
    <t>Môi trường QAS/DEV930</t>
  </si>
  <si>
    <t>Tuấn, Nam + RDM</t>
  </si>
  <si>
    <t>Sơn, Hằng</t>
  </si>
  <si>
    <t>Không lỗi Critical/High</t>
  </si>
  <si>
    <t>UAT</t>
  </si>
  <si>
    <t>Người dùng Tafico</t>
  </si>
  <si>
    <t>QAS</t>
  </si>
  <si>
    <t>Tafico</t>
  </si>
  <si>
    <t>03–04/12</t>
  </si>
  <si>
    <t>THIẾT KẾ REST / JWT / LOGGING (API + SAP)</t>
  </si>
  <si>
    <t>Hạng mục</t>
  </si>
  <si>
    <t>Thành phần</t>
  </si>
  <si>
    <t>Thiết kế</t>
  </si>
  <si>
    <t>Mã WBS</t>
  </si>
  <si>
    <t>REST</t>
  </si>
  <si>
    <t>Chuẩn endpoint</t>
  </si>
  <si>
    <t>Mỗi đối tượng × hành động 1 endpoint; GET đọc, POST ghi/hành động; phân trang page/pageSize; lỗi theo ProblemDetails + mã lỗi nghiệp vụ</t>
  </si>
  <si>
    <t>Mã HTTP</t>
  </si>
  <si>
    <t>200 thành công · 400 dữ liệu sai · 401/403 xác thực/quyền · 409 trùng requestId khác nội dung · 422 lỗi nghiệp vụ SAP · 502 không rõ kết quả · 503 SAP không sẵn sàng</t>
  </si>
  <si>
    <t>Idempotency</t>
  </si>
  <si>
    <t>API ghi bắt buộc requestId; (Operation, RequestId) duy nhất + hash payload; không retry lệnh ghi SAP</t>
  </si>
  <si>
    <t>JWT</t>
  </si>
  <si>
    <t>POST /api/auth/token, /api/auth/refresh; HS256/RS256, hết hạn 60 phút, refresh 8h; xoay khóa ký</t>
  </si>
  <si>
    <t>Phân quyền</t>
  </si>
  <si>
    <t>Role Admin / Partner(đọc) / Partner(ghi); claim phạm vi (sales org, sold-to) – lọc dữ liệu, ngoài phạm vi → 403 (sửa lỗi KH thấy full data)</t>
  </si>
  <si>
    <t>Serilog</t>
  </si>
  <si>
    <t>Console + file rolling + SQL; Correlation-Id từ header X-Correlation-Id hoặc tự sinh; che mật khẩu/token</t>
  </si>
  <si>
    <t>rdm.SapCallLog</t>
  </si>
  <si>
    <t>Mỗi lời gọi SAP: hàm, thời gian, kết quả, thông điệp RETURN, Correlation-Id; API /api/admin/sap-calls</t>
  </si>
  <si>
    <t>Logging SAP</t>
  </si>
  <si>
    <t>Bảng ZRDM_API_LOG</t>
  </si>
  <si>
    <t>Header: LOGID, CORR_ID, SOW_ID, FUNCNAME, RDM_USER, REQUEST_ID, START/END, STATUS, DOC_NO, DURATION</t>
  </si>
  <si>
    <t>Bảng ZRDM_API_LOGI</t>
  </si>
  <si>
    <t>Chi tiết: LOGID, SEQ, MSGTY, MSGID, MSGNO, MESSAGE, payload rút gọn</t>
  </si>
  <si>
    <t>Application Log (SLG1)</t>
  </si>
  <si>
    <t>Object ZRDM, subobject theo SOW (PRICE, CONTRACT, FREEBAG, FIPOST, REPORT…); BAL_LOG_CREATE / BAL_DB_SAVE</t>
  </si>
  <si>
    <t>FM Z_RDM_LOG_WRITE</t>
  </si>
  <si>
    <t>Gọi ở đầu/cuối mọi FM RDM; ghi cả khi lỗi (commit riêng, không bị rollback cùng nghiệp vụ)</t>
  </si>
  <si>
    <t>Report ZRDM_LOG_VIEW + job dọn</t>
  </si>
  <si>
    <t>Tra cứu theo SOW/ngày/user/Correlation-Id; job SM36 xóa log &gt; 180 ngày</t>
  </si>
  <si>
    <t>API đọc log SAP</t>
  </si>
  <si>
    <t>GET /api/admin/sap-logs, /api/admin/sap-logs/{correlationId} qua RFC Z_RDM_LOG_READ</t>
  </si>
  <si>
    <t>Nam / Tuấn</t>
  </si>
  <si>
    <t>Gắn log FM có sẵn</t>
  </si>
  <si>
    <t>Z_EFI011, Z_EFI009, Z_ESD012/013/014/015/016 + 3 báo cáo Z</t>
  </si>
  <si>
    <t>DANH MỤC TÀI LIỆU BÀN GIAO</t>
  </si>
  <si>
    <t>Tài liệu</t>
  </si>
  <si>
    <t>Người viết</t>
  </si>
  <si>
    <t>Hạn</t>
  </si>
  <si>
    <t>Decision log SD + FI</t>
  </si>
  <si>
    <t>Các quyết định open point, người chốt, ngày chốt</t>
  </si>
  <si>
    <t>Hằng, Sơn</t>
  </si>
  <si>
    <t>Ma trận bút toán FI</t>
  </si>
  <si>
    <t>Doc type, posting key, tài khoản, đối tượng CO cho 013/016/019/020/021/022</t>
  </si>
  <si>
    <t>KT trưởng Tafico</t>
  </si>
  <si>
    <t>BRD + mapping field</t>
  </si>
  <si>
    <t>Input/output từng API, mã lỗi nghiệp vụ</t>
  </si>
  <si>
    <t>RDM, Tafico</t>
  </si>
  <si>
    <t>05/11/2026</t>
  </si>
  <si>
    <t>Spec giá &amp; khuyến mại</t>
  </si>
  <si>
    <t>ZVLP/ZVDI/ZMIN/ZVIV, free-bag, HĐ, sản lượng, credit memo + test case</t>
  </si>
  <si>
    <t>10/11/2026</t>
  </si>
  <si>
    <t>B.S, B.S2, C.S</t>
  </si>
  <si>
    <t>FS 3 báo cáo Z + spec FI</t>
  </si>
  <si>
    <t>Logic, công thức, layout, test case hạch toán</t>
  </si>
  <si>
    <t>11/11/2026</t>
  </si>
  <si>
    <t>D.S, D.S2</t>
  </si>
  <si>
    <t>REST, JWT, logging 2 phía, idempotency, triển khai</t>
  </si>
  <si>
    <t>API Integration Guide + OpenAPI</t>
  </si>
  <si>
    <t>112 API: request/response mẫu, mã lỗi, luồng gọi</t>
  </si>
  <si>
    <t>Nam, RDM</t>
  </si>
  <si>
    <t>Toàn bộ FM RFC, bảng Z, logging SAP</t>
  </si>
  <si>
    <t>03/12/2026</t>
  </si>
  <si>
    <t>Thiết kế kỹ thuật report + bảng kết quả</t>
  </si>
  <si>
    <t>Báo cáo test (unit, nhóm, bảo mật, hiệu năng)</t>
  </si>
  <si>
    <t>Kết quả, lỗi, coverage</t>
  </si>
  <si>
    <t>6.x</t>
  </si>
  <si>
    <t>Biên bản SIT / UAT</t>
  </si>
  <si>
    <t>Kịch bản, kết quả, chữ ký</t>
  </si>
  <si>
    <t>6.2, 6.4</t>
  </si>
  <si>
    <t>Báo cáo Z, bút toán FI, luồng giá/khuyến mại</t>
  </si>
  <si>
    <t>Sơn, Hằng, Khang</t>
  </si>
  <si>
    <t>Build, deploy, restart, cấu hình JWT, xử lý sự cố, tra log</t>
  </si>
  <si>
    <t>Checklist go-live + biên bản bàn giao</t>
  </si>
  <si>
    <t>Transport, cấu hình PRD, smoke test</t>
  </si>
  <si>
    <t>Nam, Tuấn</t>
  </si>
  <si>
    <t>7.5, 7.6</t>
  </si>
  <si>
    <t>RỦI RO &amp; OPEN POINT CẦN CHỐT</t>
  </si>
  <si>
    <t>Ảnh hưởng</t>
  </si>
  <si>
    <t>Mức</t>
  </si>
  <si>
    <t>Người xử lý</t>
  </si>
  <si>
    <t>Hạn chốt</t>
  </si>
  <si>
    <t>Hướng xử lý</t>
  </si>
  <si>
    <t>Loại xe có đúng = nhóm khách hàng 3 không</t>
  </si>
  <si>
    <t>Sai danh mục loại xe</t>
  </si>
  <si>
    <t>TB</t>
  </si>
  <si>
    <t>04/11</t>
  </si>
  <si>
    <t>Chốt trong workshop SD</t>
  </si>
  <si>
    <t>Đối soát toàn bộ để bắt khóa/xóa TK, cost center</t>
  </si>
  <si>
    <t>RDM dùng TK đã khóa</t>
  </si>
  <si>
    <t>Sync full + so sánh cờ khóa</t>
  </si>
  <si>
    <t>Phạm vi lớn nhất, 6 luồng giá; overlap hiệu lực</t>
  </si>
  <si>
    <t>Trễ nhóm B, sai giá</t>
  </si>
  <si>
    <t>Cao</t>
  </si>
  <si>
    <t>Nam, Hằng</t>
  </si>
  <si>
    <t>06/11</t>
  </si>
  <si>
    <t>Spec sớm, test case overlap riêng</t>
  </si>
  <si>
    <t>RDM ghi thuế lên SAP hay SAP cấp thuế cho RDM</t>
  </si>
  <si>
    <t>Làm sai chiều API</t>
  </si>
  <si>
    <t>Chốt chiều; đã chuẩn bị cả GET và POST</t>
  </si>
  <si>
    <t>Mã dịch vụ tạo HĐ hàng loạt</t>
  </si>
  <si>
    <t>Không tạo được HĐ</t>
  </si>
  <si>
    <t>Credit Classic hay FSCM</t>
  </si>
  <si>
    <t>Sai nguồn dữ liệu</t>
  </si>
  <si>
    <t>Hiện đọc KNKK (Classic)</t>
  </si>
  <si>
    <t>Logic "theo xe" của free-bag</t>
  </si>
  <si>
    <t>Trễ nhóm B</t>
  </si>
  <si>
    <t>Chốt ví dụ số liệu cụ thể</t>
  </si>
  <si>
    <t>Định nghĩa "sản lượng"; khối lượng dữ liệu lớn</t>
  </si>
  <si>
    <t>Sai CK, timeout</t>
  </si>
  <si>
    <t>Hằng, Nam</t>
  </si>
  <si>
    <t>Phân trang, job nền, test hiệu năng</t>
  </si>
  <si>
    <t>3 bước phải chạy trọn trong 1 lần gọi</t>
  </si>
  <si>
    <t>Chứng từ dở dang</t>
  </si>
  <si>
    <t>1 LUW, rollback toàn bộ</t>
  </si>
  <si>
    <t>Chưa có trong file mapping POST; nhánh quyết toán âm</t>
  </si>
  <si>
    <t>Định khoản sai</t>
  </si>
  <si>
    <t>Ma trận bút toán ký duyệt</t>
  </si>
  <si>
    <t>Quy tắc % chiết khấu theo ngày thanh toán</t>
  </si>
  <si>
    <t>Sai số liệu báo cáo</t>
  </si>
  <si>
    <t>05/11</t>
  </si>
  <si>
    <t>Định nghĩa trường điều chỉnh (GAP)</t>
  </si>
  <si>
    <t>Sai lãi</t>
  </si>
  <si>
    <t>Áp dụng hoàn nhập tự động cho free-bag?</t>
  </si>
  <si>
    <t>Thiếu/thừa bút toán</t>
  </si>
  <si>
    <t>Nguồn lực Tuấn &amp; Nam ~100% + OT thứ Bảy; 5 API nhóm B/D xong sau hạn SOW 1 ngày</t>
  </si>
  <si>
    <t>Trễ bàn giao</t>
  </si>
  <si>
    <t>Ưu tiên theo hạn, chốt dời 1 ngày hoặc tăng OT; không thêm scope</t>
  </si>
  <si>
    <t>Open point chốt muộn sau 04/11</t>
  </si>
  <si>
    <t>Đẩy lùi toàn bộ lịch</t>
  </si>
  <si>
    <t>Escalate PM Tafico ngày 05/11</t>
  </si>
  <si>
    <t>User RFC/quyền transport QAS/PRD chưa sẵn sàng</t>
  </si>
  <si>
    <t>Trễ go-live</t>
  </si>
  <si>
    <t>25/11</t>
  </si>
  <si>
    <t>Yêu cầu Basis sớm</t>
  </si>
  <si>
    <t>Lỗ hổng phân quyền dữ liệu (KH thấy full data)</t>
  </si>
  <si>
    <t>Lộ dữ liệu</t>
  </si>
  <si>
    <t>WBS 1.2 – scope theo đối tác + test bảo mật</t>
  </si>
  <si>
    <t>CHI PHÍ DỰ ÁN &amp; ĐÓNG GÓP CỦA TUẤN</t>
  </si>
  <si>
    <t>Đơn vị: triệu VNĐ · md = ngày công. Ô nền vàng là số nhập (có thể sửa), các ô khác là công thức lấy từ sheet WBS / Danh mục API</t>
  </si>
  <si>
    <t>1. CHI PHÍ PHƯƠNG ÁN ĐỀ XUẤT – Tuấn không tính phí</t>
  </si>
  <si>
    <t>Ngân sách</t>
  </si>
  <si>
    <t>Đơn giá suy ra (tr/md)</t>
  </si>
  <si>
    <t>% công dự án</t>
  </si>
  <si>
    <t>Không tính phí – toàn bộ công của Tuấn là đóng góp cho dự án</t>
  </si>
  <si>
    <t>Logging SAP, FM RFC, khung FI, API hạch toán 016/019/020, review, transport</t>
  </si>
  <si>
    <t>3 báo cáo Z + RFC đọc kết quả 015/018</t>
  </si>
  <si>
    <t>Spec giá, khuyến mại, hợp đồng, sản lượng, credit memo</t>
  </si>
  <si>
    <t>Spec 3 báo cáo + ma trận bút toán FI</t>
  </si>
  <si>
    <t>Đơn giá bình quân của các thành viên có tính phí</t>
  </si>
  <si>
    <t>2. ĐÓNG GÓP CỤ THỂ CỦA TUẤN (không tính phí)</t>
  </si>
  <si>
    <t>Công Tuấn (md)</t>
  </si>
  <si>
    <t>% công Tuấn</t>
  </si>
  <si>
    <t>Số đầu việc</t>
  </si>
  <si>
    <t>Quy đổi theo đơn giá BQ team</t>
  </si>
  <si>
    <t>Nội dung cụ thể</t>
  </si>
  <si>
    <t>Workshop SD/FI, mapping field 24 đối tượng, BRD, chốt open point, decision log</t>
  </si>
  <si>
    <t>Kiến trúc REST, JWT (token/refresh/role/phạm vi dữ liệu theo đối tác), logging API + Correlation-Id</t>
  </si>
  <si>
    <t>Code/điều chỉnh/rà soát các API .NET (xem số API bên dưới), unit test, Swagger</t>
  </si>
  <si>
    <t>Test nhóm A/B/C, unit test tổng, bảo mật, SIT, UAT</t>
  </si>
  <si>
    <t>API Integration Guide, runbook vận hành, deploy PRD, bàn giao</t>
  </si>
  <si>
    <t>TỔNG CÔNG TUẤN</t>
  </si>
  <si>
    <t>Chỉ số</t>
  </si>
  <si>
    <t>Giá trị</t>
  </si>
  <si>
    <t>Ý nghĩa</t>
  </si>
  <si>
    <t>Số API Tuấn phụ trách</t>
  </si>
  <si>
    <t>Trên tổng số API của dự án</t>
  </si>
  <si>
    <t xml:space="preserve">   – trong đó API viết mới</t>
  </si>
  <si>
    <t xml:space="preserve">   – trong đó API điều chỉnh</t>
  </si>
  <si>
    <t xml:space="preserve">   – trong đó API có sẵn (rà soát + test)</t>
  </si>
  <si>
    <t>Tổng số API dự án</t>
  </si>
  <si>
    <t>Tỷ trọng công Tuấn / toàn dự án</t>
  </si>
  <si>
    <t>Gánh phần công này nhưng 0 đồng chi phí</t>
  </si>
  <si>
    <t>Tỷ trọng chi phí Tuấn / ngân sách</t>
  </si>
  <si>
    <t>Giá trị công Tuấn quy đổi (đơn giá BQ team)</t>
  </si>
  <si>
    <t>Phần chi phí dự án tiết kiệm được nhờ Tuấn không tính phí</t>
  </si>
  <si>
    <t>3. NẾU KHÔNG CÓ TUẤN – phải thuê/giao người khác làm phần việc của Tuấn</t>
  </si>
  <si>
    <t>Chi phí onboarding người thay thế (% công Tuấn)</t>
  </si>
  <si>
    <t>Người mới phải nắm codebase hiện có, SAP DEV930, nghiệp vụ Tafico, 24 đối tượng SOW</t>
  </si>
  <si>
    <t>Ngưỡng so sánh (triệu VNĐ)</t>
  </si>
  <si>
    <t>Công cần thay thế (md)</t>
  </si>
  <si>
    <t>Phương án</t>
  </si>
  <si>
    <t>Đơn giá (tr/md)</t>
  </si>
  <si>
    <t>Chi phí thay Tuấn</t>
  </si>
  <si>
    <t>Tổng chi phí dự án</t>
  </si>
  <si>
    <t>Vượt ngưỡng 200tr</t>
  </si>
  <si>
    <t>Kết luận</t>
  </si>
  <si>
    <t>Tác động tiến độ</t>
  </si>
  <si>
    <t>PA1 – Thuê theo đơn giá THẤP NHẤT trong team</t>
  </si>
  <si>
    <t>Phải tuyển + onboarding 3–5 ngày → trễ mốc M1 (04/11) và M2 (06/11)</t>
  </si>
  <si>
    <t>PA2 – Thuê theo đơn giá BÌNH QUÂN team</t>
  </si>
  <si>
    <t>Như PA1</t>
  </si>
  <si>
    <t>PA3 – Thuê SA/BA/.NET theo đơn giá techlead (Nam)</t>
  </si>
  <si>
    <t>PA4 – Giao Nam làm thêm phần của Tuấn</t>
  </si>
  <si>
    <t>Đơn giá hòa vốn để vượt ngưỡng</t>
  </si>
  <si>
    <t>4. GIÁ TRỊ NỀN TẢNG BACKEND ĐÃ CÓ (tái sử dụng – không tính vào chi phí)</t>
  </si>
  <si>
    <t>Số API có sẵn + điều chỉnh</t>
  </si>
  <si>
    <t>Công bình quân 1 API viết mới (md)</t>
  </si>
  <si>
    <t>Theo ước lượng WBS</t>
  </si>
  <si>
    <t>Công nếu phải viết mới toàn bộ (md)</t>
  </si>
  <si>
    <t>Công thực tế trong kế hoạch (md)</t>
  </si>
  <si>
    <t>Công tiết kiệm (md)</t>
  </si>
  <si>
    <t>Chưa tính khung JWT, logging, idempotency, job nền, admin UI đã có</t>
  </si>
  <si>
    <t>Giá trị tiết kiệm (đơn giá thấp nhất team)</t>
  </si>
  <si>
    <t>Cần xác nhận nguồn gốc nền tảng trước khi đưa vào hồ sơ</t>
  </si>
  <si>
    <t>5. KẾT LUẬN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</si>
</sst>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dd/mm/yyyy"/>
    <numFmt numFmtId="166" formatCode="dd/mm"/>
    <numFmt numFmtId="167" formatCode="#,##0.0"/>
  </numFmts>
  <fonts count="17" x14ac:knownFonts="1">
    <font>
      <color theme="1"/>
      <family val="2"/>
      <scheme val="minor"/>
      <sz val="11"/>
      <name val="Calibri"/>
    </font>
    <font>
      <b/>
      <color rgb="FF1F3864"/>
      <sz val="15"/>
    </font>
    <font>
      <i/>
      <color rgb="FF595959"/>
    </font>
    <font>
      <b/>
    </font>
    <font>
      <b/>
      <color rgb="FF1F3864"/>
      <sz val="12"/>
    </font>
    <font>
      <b/>
      <color rgb="FFFFFFFF"/>
    </font>
    <font>
      <b/>
      <color rgb="FFC00000"/>
    </font>
    <font>
      <i/>
      <sz val="9"/>
    </font>
    <font>
      <b/>
      <color rgb="FF548235"/>
    </font>
    <font>
      <b/>
      <color rgb="FF2E75B6"/>
    </font>
    <font>
      <b/>
      <color rgb="FF7030A0"/>
    </font>
    <font>
      <b/>
      <color rgb="FFBF8F00"/>
    </font>
    <font>
      <b/>
      <sz val="8"/>
    </font>
    <font>
      <b/>
      <color rgb="FFFFFFFF"/>
      <sz val="8"/>
    </font>
    <font>
      <sz val="9"/>
    </font>
    <font>
      <i/>
    </font>
    <font>
      <b/>
      <color rgb="FF0000FF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rgb="FFF8CBA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2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/>
    </xf>
    <xf numFmtId="2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/>
    <xf numFmtId="0" fontId="7" fillId="0" borderId="0" xfId="0" applyFont="1"/>
    <xf numFmtId="0" fontId="0" fillId="0" borderId="0" xfId="0" applyAlignment="1">
      <alignment wrapText="1"/>
    </xf>
    <xf numFmtId="0" fontId="8" fillId="0" borderId="1" xfId="0" applyFont="1" applyBorder="1" applyAlignment="1">
      <alignment vertical="top"/>
    </xf>
    <xf numFmtId="0" fontId="0" fillId="3" borderId="1" xfId="0" applyFill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0" fillId="5" borderId="1" xfId="0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0" fillId="6" borderId="1" xfId="0" applyFill="1" applyBorder="1" applyAlignment="1">
      <alignment vertical="top"/>
    </xf>
    <xf numFmtId="2" fontId="0" fillId="0" borderId="0" xfId="0" applyNumberFormat="1"/>
    <xf numFmtId="0" fontId="6" fillId="0" borderId="1" xfId="0" applyFont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9" fillId="6" borderId="1" xfId="0" applyFont="1" applyFill="1" applyBorder="1" applyAlignment="1">
      <alignment vertical="top"/>
    </xf>
    <xf numFmtId="2" fontId="0" fillId="6" borderId="1" xfId="0" applyNumberFormat="1" applyFill="1" applyBorder="1" applyAlignment="1">
      <alignment vertical="top"/>
    </xf>
    <xf numFmtId="165" fontId="0" fillId="6" borderId="1" xfId="0" applyNumberFormat="1" applyFill="1" applyBorder="1" applyAlignment="1">
      <alignment vertical="top"/>
    </xf>
    <xf numFmtId="0" fontId="11" fillId="0" borderId="1" xfId="0" applyFont="1" applyBorder="1" applyAlignment="1">
      <alignment vertical="top"/>
    </xf>
    <xf numFmtId="0" fontId="8" fillId="6" borderId="1" xfId="0" applyFont="1" applyFill="1" applyBorder="1" applyAlignment="1">
      <alignment vertical="top"/>
    </xf>
    <xf numFmtId="2" fontId="3" fillId="0" borderId="0" xfId="0" applyNumberFormat="1" applyFont="1"/>
    <xf numFmtId="0" fontId="12" fillId="0" borderId="0" xfId="0" applyFont="1" applyAlignment="1">
      <alignment horizontal="center"/>
    </xf>
    <xf numFmtId="166" fontId="13" fillId="2" borderId="1" xfId="0" applyNumberFormat="1" applyFont="1" applyFill="1" applyBorder="1" applyAlignment="1">
      <alignment horizontal="center" vertical="center" textRotation="90"/>
    </xf>
    <xf numFmtId="166" fontId="13" fillId="7" borderId="1" xfId="0" applyNumberFormat="1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/>
    <xf numFmtId="166" fontId="14" fillId="0" borderId="1" xfId="0" applyNumberFormat="1" applyFont="1" applyBorder="1"/>
    <xf numFmtId="0" fontId="14" fillId="8" borderId="1" xfId="0" applyFont="1" applyFill="1" applyBorder="1"/>
    <xf numFmtId="0" fontId="15" fillId="0" borderId="0" xfId="0" applyFont="1"/>
    <xf numFmtId="0" fontId="15" fillId="0" borderId="1" xfId="0" applyFont="1" applyBorder="1" applyAlignment="1">
      <alignment vertical="top"/>
    </xf>
    <xf numFmtId="2" fontId="0" fillId="9" borderId="1" xfId="0" applyNumberFormat="1" applyFill="1" applyBorder="1" applyAlignment="1">
      <alignment vertical="top"/>
    </xf>
    <xf numFmtId="2" fontId="0" fillId="5" borderId="1" xfId="0" applyNumberFormat="1" applyFill="1" applyBorder="1" applyAlignment="1">
      <alignment vertical="top"/>
    </xf>
    <xf numFmtId="2" fontId="0" fillId="3" borderId="1" xfId="0" applyNumberFormat="1" applyFill="1" applyBorder="1" applyAlignment="1">
      <alignment vertical="top"/>
    </xf>
    <xf numFmtId="2" fontId="0" fillId="10" borderId="1" xfId="0" applyNumberFormat="1" applyFill="1" applyBorder="1" applyAlignment="1">
      <alignment vertical="top"/>
    </xf>
    <xf numFmtId="0" fontId="0" fillId="9" borderId="0" xfId="0" applyFill="1"/>
    <xf numFmtId="0" fontId="0" fillId="5" borderId="0" xfId="0" applyFill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16" fillId="3" borderId="1" xfId="0" applyNumberFormat="1" applyFont="1" applyFill="1" applyBorder="1" applyAlignment="1">
      <alignment vertical="top"/>
    </xf>
    <xf numFmtId="167" fontId="3" fillId="0" borderId="1" xfId="0" applyNumberFormat="1" applyFont="1" applyBorder="1" applyAlignment="1">
      <alignment vertical="top"/>
    </xf>
    <xf numFmtId="167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9" fontId="16" fillId="3" borderId="0" xfId="0" applyNumberFormat="1" applyFont="1" applyFill="1"/>
    <xf numFmtId="167" fontId="16" fillId="3" borderId="0" xfId="0" applyNumberFormat="1" applyFont="1" applyFill="1"/>
  </cellXfs>
  <cellStyles count="1">
    <cellStyle name="Normal" xfId="0" builtinId="0"/>
  </cellStyles>
  <dxfs count="5">
    <dxf>
      <fill>
        <patternFill patternType="solid">
          <bgColor rgb="FF2E75B6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BF8F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22" customWidth="1"/>
    <col min="3" max="3" width="18" customWidth="1"/>
    <col min="4" max="6" width="16" customWidth="1"/>
    <col min="7" max="7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7" x14ac:dyDescent="0.25">
      <c r="A4" s="3" t="s">
        <v>2</v>
      </c>
      <c r="B4" s="4" t="s">
        <v>3</v>
      </c>
      <c r="C4" s="4"/>
      <c r="D4" s="4"/>
      <c r="E4" s="4"/>
      <c r="F4" s="4"/>
      <c r="G4" s="4"/>
    </row>
    <row r="5" spans="1:7" x14ac:dyDescent="0.25">
      <c r="A5" s="3" t="s">
        <v>4</v>
      </c>
      <c r="B5" s="4" t="s">
        <v>5</v>
      </c>
      <c r="C5" s="4"/>
      <c r="D5" s="4"/>
      <c r="E5" s="4"/>
      <c r="F5" s="4"/>
      <c r="G5" s="4"/>
    </row>
    <row r="6" spans="1:7" x14ac:dyDescent="0.25">
      <c r="A6" s="3" t="s">
        <v>6</v>
      </c>
      <c r="B6" s="4" t="s">
        <v>7</v>
      </c>
      <c r="C6" s="4"/>
      <c r="D6" s="4"/>
      <c r="E6" s="4"/>
      <c r="F6" s="4"/>
      <c r="G6" s="4"/>
    </row>
    <row r="7" spans="1:7" x14ac:dyDescent="0.25">
      <c r="A7" s="3" t="s">
        <v>8</v>
      </c>
      <c r="B7" s="4" t="s">
        <v>9</v>
      </c>
      <c r="C7" s="4"/>
      <c r="D7" s="4"/>
      <c r="E7" s="4"/>
      <c r="F7" s="4"/>
      <c r="G7" s="4"/>
    </row>
    <row r="8" spans="1:7" x14ac:dyDescent="0.25">
      <c r="A8" s="3" t="s">
        <v>10</v>
      </c>
      <c r="B8" s="4" t="s">
        <v>11</v>
      </c>
      <c r="C8" s="4"/>
      <c r="D8" s="4"/>
      <c r="E8" s="4"/>
      <c r="F8" s="4"/>
      <c r="G8" s="4"/>
    </row>
    <row r="9" spans="1:7" x14ac:dyDescent="0.25">
      <c r="A9" s="3" t="s">
        <v>12</v>
      </c>
      <c r="B9" s="4" t="s">
        <v>13</v>
      </c>
      <c r="C9" s="4"/>
      <c r="D9" s="4"/>
      <c r="E9" s="4"/>
      <c r="F9" s="4"/>
      <c r="G9" s="4"/>
    </row>
    <row r="10" spans="1:7" x14ac:dyDescent="0.25">
      <c r="A10" s="3" t="s">
        <v>14</v>
      </c>
      <c r="B10" s="4" t="s">
        <v>15</v>
      </c>
      <c r="C10" s="4"/>
      <c r="D10" s="4"/>
      <c r="E10" s="4"/>
      <c r="F10" s="4"/>
      <c r="G10" s="4"/>
    </row>
    <row r="12" spans="1:1" x14ac:dyDescent="0.25">
      <c r="A12" s="5" t="s">
        <v>16</v>
      </c>
    </row>
    <row r="13" ht="32" customHeight="1" spans="1:7" x14ac:dyDescent="0.25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</row>
    <row r="14" spans="1:7" x14ac:dyDescent="0.25">
      <c r="A14" s="7" t="s">
        <v>24</v>
      </c>
      <c r="B14" s="7" t="s">
        <v>25</v>
      </c>
      <c r="C14" s="8">
        <f>SUM('WBS chi tiết'!H5:H166)</f>
      </c>
      <c r="D14" s="9">
        <f>C14/C$19</f>
      </c>
      <c r="E14" s="7">
        <v>28</v>
      </c>
      <c r="F14" s="10">
        <f>C14/E14</f>
      </c>
      <c r="G14" s="11" t="s">
        <v>26</v>
      </c>
    </row>
    <row r="15" spans="1:7" x14ac:dyDescent="0.25">
      <c r="A15" s="7" t="s">
        <v>27</v>
      </c>
      <c r="B15" s="7" t="s">
        <v>28</v>
      </c>
      <c r="C15" s="8">
        <f>SUM('WBS chi tiết'!I5:I166)</f>
      </c>
      <c r="D15" s="9">
        <f>C15/C$19</f>
      </c>
      <c r="E15" s="7">
        <v>28</v>
      </c>
      <c r="F15" s="10">
        <f>C15/E15</f>
      </c>
      <c r="G15" s="11" t="s">
        <v>29</v>
      </c>
    </row>
    <row r="16" spans="1:7" x14ac:dyDescent="0.25">
      <c r="A16" s="7" t="s">
        <v>30</v>
      </c>
      <c r="B16" s="7" t="s">
        <v>31</v>
      </c>
      <c r="C16" s="8">
        <f>SUM('WBS chi tiết'!J5:J166)</f>
      </c>
      <c r="D16" s="9">
        <f>C16/C$19</f>
      </c>
      <c r="E16" s="7">
        <v>28</v>
      </c>
      <c r="F16" s="10">
        <f>C16/E16</f>
      </c>
      <c r="G16" s="11" t="s">
        <v>32</v>
      </c>
    </row>
    <row r="17" spans="1:7" x14ac:dyDescent="0.25">
      <c r="A17" s="7" t="s">
        <v>33</v>
      </c>
      <c r="B17" s="7" t="s">
        <v>34</v>
      </c>
      <c r="C17" s="8">
        <f>SUM('WBS chi tiết'!K5:K166)</f>
      </c>
      <c r="D17" s="9">
        <f>C17/C$19</f>
      </c>
      <c r="E17" s="7">
        <v>28</v>
      </c>
      <c r="F17" s="10">
        <f>C17/E17</f>
      </c>
      <c r="G17" s="11" t="s">
        <v>35</v>
      </c>
    </row>
    <row r="18" spans="1:7" x14ac:dyDescent="0.25">
      <c r="A18" s="7" t="s">
        <v>36</v>
      </c>
      <c r="B18" s="7" t="s">
        <v>37</v>
      </c>
      <c r="C18" s="8">
        <f>SUM('WBS chi tiết'!L5:L166)</f>
      </c>
      <c r="D18" s="9">
        <f>C18/C$19</f>
      </c>
      <c r="E18" s="7">
        <v>28</v>
      </c>
      <c r="F18" s="10">
        <f>C18/E18</f>
      </c>
      <c r="G18" s="11" t="s">
        <v>38</v>
      </c>
    </row>
    <row r="19" spans="1:7" s="3" customFormat="1" x14ac:dyDescent="0.25">
      <c r="A19" s="12" t="s">
        <v>39</v>
      </c>
      <c r="B19" s="12" t="s">
        <v>40</v>
      </c>
      <c r="C19" s="13">
        <f>SUM(C14:C18)</f>
      </c>
      <c r="D19" s="14">
        <f>SUM(D14:D18)</f>
      </c>
      <c r="E19" s="12" t="s">
        <v>40</v>
      </c>
      <c r="F19" s="12" t="s">
        <v>40</v>
      </c>
      <c r="G19" s="15" t="s">
        <v>40</v>
      </c>
    </row>
    <row r="20" spans="1:4" s="16" customFormat="1" x14ac:dyDescent="0.25">
      <c r="A20" s="16" t="s">
        <v>41</v>
      </c>
      <c r="B20" s="16" t="s">
        <v>40</v>
      </c>
      <c r="C20" s="17">
        <f>C14+C15</f>
      </c>
      <c r="D20" s="18">
        <f>D14+D15</f>
      </c>
    </row>
    <row r="21" spans="1:1" x14ac:dyDescent="0.25">
      <c r="A21" s="19" t="s">
        <v>42</v>
      </c>
    </row>
    <row r="23" spans="1:1" x14ac:dyDescent="0.25">
      <c r="A23" s="5" t="s">
        <v>43</v>
      </c>
    </row>
    <row r="24" ht="32" customHeight="1" spans="1:7" x14ac:dyDescent="0.25">
      <c r="A24" s="6" t="s">
        <v>44</v>
      </c>
      <c r="B24" s="6" t="s">
        <v>45</v>
      </c>
      <c r="C24" s="6" t="s">
        <v>46</v>
      </c>
      <c r="D24" s="6"/>
      <c r="E24" s="6"/>
      <c r="F24" s="6"/>
      <c r="G24" s="6" t="s">
        <v>47</v>
      </c>
    </row>
    <row r="25" spans="1:7" x14ac:dyDescent="0.25">
      <c r="A25" s="7" t="s">
        <v>48</v>
      </c>
      <c r="B25" s="7" t="s">
        <v>49</v>
      </c>
      <c r="C25" s="7" t="s">
        <v>50</v>
      </c>
      <c r="D25" s="7"/>
      <c r="E25" s="7"/>
      <c r="F25" s="7"/>
      <c r="G25" s="11" t="s">
        <v>51</v>
      </c>
    </row>
    <row r="26" spans="1:7" x14ac:dyDescent="0.25">
      <c r="A26" s="7" t="s">
        <v>52</v>
      </c>
      <c r="B26" s="7" t="s">
        <v>53</v>
      </c>
      <c r="C26" s="7" t="s">
        <v>54</v>
      </c>
      <c r="D26" s="7"/>
      <c r="E26" s="7"/>
      <c r="F26" s="7"/>
      <c r="G26" s="11" t="s">
        <v>55</v>
      </c>
    </row>
    <row r="27" spans="1:7" x14ac:dyDescent="0.25">
      <c r="A27" s="7" t="s">
        <v>56</v>
      </c>
      <c r="B27" s="7" t="s">
        <v>57</v>
      </c>
      <c r="C27" s="7" t="s">
        <v>58</v>
      </c>
      <c r="D27" s="7"/>
      <c r="E27" s="7"/>
      <c r="F27" s="7"/>
      <c r="G27" s="11" t="s">
        <v>59</v>
      </c>
    </row>
    <row r="28" spans="1:7" x14ac:dyDescent="0.25">
      <c r="A28" s="7" t="s">
        <v>60</v>
      </c>
      <c r="B28" s="7" t="s">
        <v>61</v>
      </c>
      <c r="C28" s="7" t="s">
        <v>62</v>
      </c>
      <c r="D28" s="7"/>
      <c r="E28" s="7"/>
      <c r="F28" s="7"/>
      <c r="G28" s="11" t="s">
        <v>63</v>
      </c>
    </row>
    <row r="29" spans="1:7" x14ac:dyDescent="0.25">
      <c r="A29" s="7" t="s">
        <v>64</v>
      </c>
      <c r="B29" s="7" t="s">
        <v>65</v>
      </c>
      <c r="C29" s="7" t="s">
        <v>66</v>
      </c>
      <c r="D29" s="7"/>
      <c r="E29" s="7"/>
      <c r="F29" s="7"/>
      <c r="G29" s="11" t="s">
        <v>67</v>
      </c>
    </row>
    <row r="30" spans="1:7" x14ac:dyDescent="0.25">
      <c r="A30" s="7" t="s">
        <v>68</v>
      </c>
      <c r="B30" s="7" t="s">
        <v>69</v>
      </c>
      <c r="C30" s="7" t="s">
        <v>70</v>
      </c>
      <c r="D30" s="7"/>
      <c r="E30" s="7"/>
      <c r="F30" s="7"/>
      <c r="G30" s="11" t="s">
        <v>71</v>
      </c>
    </row>
    <row r="31" spans="1:7" x14ac:dyDescent="0.25">
      <c r="A31" s="7" t="s">
        <v>72</v>
      </c>
      <c r="B31" s="7" t="s">
        <v>73</v>
      </c>
      <c r="C31" s="7" t="s">
        <v>74</v>
      </c>
      <c r="D31" s="7"/>
      <c r="E31" s="7"/>
      <c r="F31" s="7"/>
      <c r="G31" s="11" t="s">
        <v>75</v>
      </c>
    </row>
    <row r="32" spans="1:7" x14ac:dyDescent="0.25">
      <c r="A32" s="7" t="s">
        <v>76</v>
      </c>
      <c r="B32" s="7" t="s">
        <v>77</v>
      </c>
      <c r="C32" s="7" t="s">
        <v>78</v>
      </c>
      <c r="D32" s="7"/>
      <c r="E32" s="7"/>
      <c r="F32" s="7"/>
      <c r="G32" s="11" t="s">
        <v>79</v>
      </c>
    </row>
    <row r="33" spans="1:7" x14ac:dyDescent="0.25">
      <c r="A33" s="7" t="s">
        <v>80</v>
      </c>
      <c r="B33" s="7" t="s">
        <v>81</v>
      </c>
      <c r="C33" s="7" t="s">
        <v>82</v>
      </c>
      <c r="D33" s="7"/>
      <c r="E33" s="7"/>
      <c r="F33" s="7"/>
      <c r="G33" s="11" t="s">
        <v>83</v>
      </c>
    </row>
    <row r="34" spans="1:7" x14ac:dyDescent="0.25">
      <c r="A34" s="7" t="s">
        <v>84</v>
      </c>
      <c r="B34" s="7" t="s">
        <v>85</v>
      </c>
      <c r="C34" s="7" t="s">
        <v>86</v>
      </c>
      <c r="D34" s="7"/>
      <c r="E34" s="7"/>
      <c r="F34" s="7"/>
      <c r="G34" s="11" t="s">
        <v>87</v>
      </c>
    </row>
    <row r="36" spans="1:1" x14ac:dyDescent="0.25">
      <c r="A36" s="5" t="s">
        <v>88</v>
      </c>
    </row>
    <row r="37" ht="30" customHeight="1" spans="1:7" x14ac:dyDescent="0.25">
      <c r="A37" s="20" t="s">
        <v>89</v>
      </c>
      <c r="B37" s="20"/>
      <c r="C37" s="20"/>
      <c r="D37" s="20"/>
      <c r="E37" s="20"/>
      <c r="F37" s="20"/>
      <c r="G37" s="20"/>
    </row>
    <row r="38" ht="30" customHeight="1" spans="1:7" x14ac:dyDescent="0.25">
      <c r="A38" s="20" t="s">
        <v>90</v>
      </c>
      <c r="B38" s="20"/>
      <c r="C38" s="20"/>
      <c r="D38" s="20"/>
      <c r="E38" s="20"/>
      <c r="F38" s="20"/>
      <c r="G38" s="20"/>
    </row>
    <row r="39" ht="30" customHeight="1" spans="1:7" x14ac:dyDescent="0.25">
      <c r="A39" s="20" t="s">
        <v>91</v>
      </c>
      <c r="B39" s="20"/>
      <c r="C39" s="20"/>
      <c r="D39" s="20"/>
      <c r="E39" s="20"/>
      <c r="F39" s="20"/>
      <c r="G39" s="20"/>
    </row>
    <row r="40" ht="30" customHeight="1" spans="1:7" x14ac:dyDescent="0.25">
      <c r="A40" s="20" t="s">
        <v>92</v>
      </c>
      <c r="B40" s="20"/>
      <c r="C40" s="20"/>
      <c r="D40" s="20"/>
      <c r="E40" s="20"/>
      <c r="F40" s="20"/>
      <c r="G40" s="20"/>
    </row>
    <row r="41" ht="30" customHeight="1" spans="1:7" x14ac:dyDescent="0.25">
      <c r="A41" s="20" t="s">
        <v>93</v>
      </c>
      <c r="B41" s="20"/>
      <c r="C41" s="20"/>
      <c r="D41" s="20"/>
      <c r="E41" s="20"/>
      <c r="F41" s="20"/>
      <c r="G41" s="20"/>
    </row>
    <row r="42" ht="30" customHeight="1" spans="1:7" x14ac:dyDescent="0.25">
      <c r="A42" s="20" t="s">
        <v>94</v>
      </c>
      <c r="B42" s="20"/>
      <c r="C42" s="20"/>
      <c r="D42" s="20"/>
      <c r="E42" s="20"/>
      <c r="F42" s="20"/>
      <c r="G42" s="20"/>
    </row>
    <row r="43" ht="30" customHeight="1" spans="1:7" x14ac:dyDescent="0.25">
      <c r="A43" s="20" t="s">
        <v>95</v>
      </c>
      <c r="B43" s="20"/>
      <c r="C43" s="20"/>
      <c r="D43" s="20"/>
      <c r="E43" s="20"/>
      <c r="F43" s="20"/>
      <c r="G43" s="20"/>
    </row>
  </sheetData>
  <mergeCells count="25">
    <mergeCell ref="B4:G4"/>
    <mergeCell ref="B5:G5"/>
    <mergeCell ref="B6:G6"/>
    <mergeCell ref="B7:G7"/>
    <mergeCell ref="B8:G8"/>
    <mergeCell ref="B9:G9"/>
    <mergeCell ref="B10:G10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A37:G37"/>
    <mergeCell ref="A38:G38"/>
    <mergeCell ref="A39:G39"/>
    <mergeCell ref="A40:G40"/>
    <mergeCell ref="A41:G41"/>
    <mergeCell ref="A42:G42"/>
    <mergeCell ref="A43:G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2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2" customWidth="1"/>
    <col min="4" max="4" width="22" customWidth="1"/>
    <col min="5" max="5" width="30" customWidth="1"/>
    <col min="6" max="6" width="34" customWidth="1"/>
    <col min="7" max="7" width="42" customWidth="1"/>
    <col min="8" max="8" width="30" customWidth="1"/>
    <col min="9" max="9" width="16" customWidth="1"/>
    <col min="10" max="10" width="12" customWidth="1"/>
    <col min="11" max="11" width="14" customWidth="1"/>
    <col min="12" max="13" width="12" customWidth="1"/>
    <col min="16" max="18" width="11" customWidth="1"/>
    <col min="19" max="19" width="20" customWidth="1"/>
  </cols>
  <sheetData>
    <row r="1" spans="1:1" x14ac:dyDescent="0.25">
      <c r="A1" s="1" t="s">
        <v>96</v>
      </c>
    </row>
    <row r="2" spans="1:1" x14ac:dyDescent="0.25">
      <c r="A2" s="2" t="s">
        <v>97</v>
      </c>
    </row>
    <row r="4" ht="32" customHeight="1" spans="1:20" x14ac:dyDescent="0.25">
      <c r="A4" s="6" t="s">
        <v>98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104</v>
      </c>
      <c r="H4" s="6" t="s">
        <v>105</v>
      </c>
      <c r="I4" s="6" t="s">
        <v>106</v>
      </c>
      <c r="J4" s="6" t="s">
        <v>107</v>
      </c>
      <c r="K4" s="6" t="s">
        <v>108</v>
      </c>
      <c r="L4" s="6" t="s">
        <v>109</v>
      </c>
      <c r="M4" s="6" t="s">
        <v>110</v>
      </c>
      <c r="N4" s="6" t="s">
        <v>111</v>
      </c>
      <c r="O4" s="6" t="s">
        <v>112</v>
      </c>
      <c r="P4" s="6" t="s">
        <v>113</v>
      </c>
      <c r="Q4" s="6" t="s">
        <v>114</v>
      </c>
      <c r="R4" s="6" t="s">
        <v>115</v>
      </c>
      <c r="S4" s="6" t="s">
        <v>116</v>
      </c>
      <c r="T4" s="6" t="s">
        <v>117</v>
      </c>
    </row>
    <row r="5" spans="1:20" x14ac:dyDescent="0.25">
      <c r="A5" s="7">
        <v>1</v>
      </c>
      <c r="B5" s="7" t="s">
        <v>118</v>
      </c>
      <c r="C5" s="7" t="s">
        <v>119</v>
      </c>
      <c r="D5" s="7" t="s">
        <v>119</v>
      </c>
      <c r="E5" s="11" t="s">
        <v>120</v>
      </c>
      <c r="F5" s="11" t="s">
        <v>121</v>
      </c>
      <c r="G5" s="21" t="s">
        <v>122</v>
      </c>
      <c r="H5" s="11" t="s">
        <v>123</v>
      </c>
      <c r="I5" s="11" t="s">
        <v>124</v>
      </c>
      <c r="J5" s="7" t="s">
        <v>124</v>
      </c>
      <c r="K5" s="22" t="s">
        <v>125</v>
      </c>
      <c r="L5" s="7" t="s">
        <v>126</v>
      </c>
      <c r="M5" s="7" t="s">
        <v>127</v>
      </c>
      <c r="N5" s="7" t="s">
        <v>128</v>
      </c>
      <c r="O5" s="7" t="s">
        <v>24</v>
      </c>
      <c r="P5" s="8">
        <v>0.25</v>
      </c>
      <c r="Q5" s="23">
        <v>46331</v>
      </c>
      <c r="R5" s="23">
        <v>46331</v>
      </c>
      <c r="S5" s="23" t="s">
        <v>124</v>
      </c>
      <c r="T5" s="7" t="s">
        <v>40</v>
      </c>
    </row>
    <row r="6" spans="1:20" x14ac:dyDescent="0.25">
      <c r="A6" s="7">
        <v>2</v>
      </c>
      <c r="B6" s="7" t="s">
        <v>129</v>
      </c>
      <c r="C6" s="7" t="s">
        <v>119</v>
      </c>
      <c r="D6" s="7" t="s">
        <v>119</v>
      </c>
      <c r="E6" s="11" t="s">
        <v>120</v>
      </c>
      <c r="F6" s="11" t="s">
        <v>130</v>
      </c>
      <c r="G6" s="21" t="s">
        <v>122</v>
      </c>
      <c r="H6" s="11" t="s">
        <v>131</v>
      </c>
      <c r="I6" s="11" t="s">
        <v>124</v>
      </c>
      <c r="J6" s="7" t="s">
        <v>124</v>
      </c>
      <c r="K6" s="24" t="s">
        <v>132</v>
      </c>
      <c r="L6" s="7" t="s">
        <v>126</v>
      </c>
      <c r="M6" s="7" t="s">
        <v>127</v>
      </c>
      <c r="N6" s="7" t="s">
        <v>128</v>
      </c>
      <c r="O6" s="7" t="s">
        <v>24</v>
      </c>
      <c r="P6" s="8">
        <v>0.25</v>
      </c>
      <c r="Q6" s="23">
        <v>46331</v>
      </c>
      <c r="R6" s="23">
        <v>46331</v>
      </c>
      <c r="S6" s="23" t="s">
        <v>124</v>
      </c>
      <c r="T6" s="7" t="s">
        <v>40</v>
      </c>
    </row>
    <row r="7" spans="1:20" x14ac:dyDescent="0.25">
      <c r="A7" s="7">
        <v>3</v>
      </c>
      <c r="B7" s="7" t="s">
        <v>133</v>
      </c>
      <c r="C7" s="7" t="s">
        <v>119</v>
      </c>
      <c r="D7" s="7" t="s">
        <v>119</v>
      </c>
      <c r="E7" s="11" t="s">
        <v>120</v>
      </c>
      <c r="F7" s="11" t="s">
        <v>134</v>
      </c>
      <c r="G7" s="25" t="s">
        <v>135</v>
      </c>
      <c r="H7" s="11" t="s">
        <v>136</v>
      </c>
      <c r="I7" s="11" t="s">
        <v>124</v>
      </c>
      <c r="J7" s="7" t="s">
        <v>124</v>
      </c>
      <c r="K7" s="22" t="s">
        <v>125</v>
      </c>
      <c r="L7" s="7" t="s">
        <v>137</v>
      </c>
      <c r="M7" s="7" t="s">
        <v>124</v>
      </c>
      <c r="N7" s="7" t="s">
        <v>138</v>
      </c>
      <c r="O7" s="7" t="s">
        <v>24</v>
      </c>
      <c r="P7" s="8">
        <v>0.1</v>
      </c>
      <c r="Q7" s="23">
        <v>46332</v>
      </c>
      <c r="R7" s="23">
        <v>46332</v>
      </c>
      <c r="S7" s="23" t="s">
        <v>124</v>
      </c>
      <c r="T7" s="7" t="s">
        <v>40</v>
      </c>
    </row>
    <row r="8" spans="1:20" x14ac:dyDescent="0.25">
      <c r="A8" s="7">
        <v>4</v>
      </c>
      <c r="B8" s="7" t="s">
        <v>139</v>
      </c>
      <c r="C8" s="7" t="s">
        <v>119</v>
      </c>
      <c r="D8" s="7" t="s">
        <v>119</v>
      </c>
      <c r="E8" s="11" t="s">
        <v>140</v>
      </c>
      <c r="F8" s="11" t="s">
        <v>141</v>
      </c>
      <c r="G8" s="25" t="s">
        <v>135</v>
      </c>
      <c r="H8" s="11" t="s">
        <v>142</v>
      </c>
      <c r="I8" s="11" t="s">
        <v>124</v>
      </c>
      <c r="J8" s="7" t="s">
        <v>124</v>
      </c>
      <c r="K8" s="26" t="s">
        <v>143</v>
      </c>
      <c r="L8" s="7" t="s">
        <v>144</v>
      </c>
      <c r="M8" s="7" t="s">
        <v>124</v>
      </c>
      <c r="N8" s="7" t="s">
        <v>138</v>
      </c>
      <c r="O8" s="7" t="s">
        <v>24</v>
      </c>
      <c r="P8" s="8">
        <v>0.1</v>
      </c>
      <c r="Q8" s="23">
        <v>46325</v>
      </c>
      <c r="R8" s="23">
        <v>46325</v>
      </c>
      <c r="S8" s="23" t="s">
        <v>124</v>
      </c>
      <c r="T8" s="7" t="s">
        <v>40</v>
      </c>
    </row>
    <row r="9" spans="1:20" x14ac:dyDescent="0.25">
      <c r="A9" s="7">
        <v>5</v>
      </c>
      <c r="B9" s="7" t="s">
        <v>145</v>
      </c>
      <c r="C9" s="7" t="s">
        <v>119</v>
      </c>
      <c r="D9" s="7" t="s">
        <v>119</v>
      </c>
      <c r="E9" s="11" t="s">
        <v>140</v>
      </c>
      <c r="F9" s="11" t="s">
        <v>146</v>
      </c>
      <c r="G9" s="27" t="s">
        <v>147</v>
      </c>
      <c r="H9" s="11" t="s">
        <v>148</v>
      </c>
      <c r="I9" s="11" t="s">
        <v>124</v>
      </c>
      <c r="J9" s="7" t="s">
        <v>124</v>
      </c>
      <c r="K9" s="22" t="s">
        <v>125</v>
      </c>
      <c r="L9" s="7" t="s">
        <v>144</v>
      </c>
      <c r="M9" s="7" t="s">
        <v>127</v>
      </c>
      <c r="N9" s="7" t="s">
        <v>128</v>
      </c>
      <c r="O9" s="7" t="s">
        <v>24</v>
      </c>
      <c r="P9" s="8">
        <v>0.25</v>
      </c>
      <c r="Q9" s="23">
        <v>46332</v>
      </c>
      <c r="R9" s="23">
        <v>46332</v>
      </c>
      <c r="S9" s="23" t="s">
        <v>124</v>
      </c>
      <c r="T9" s="7" t="s">
        <v>40</v>
      </c>
    </row>
    <row r="10" spans="1:20" x14ac:dyDescent="0.25">
      <c r="A10" s="7">
        <v>6</v>
      </c>
      <c r="B10" s="7" t="s">
        <v>149</v>
      </c>
      <c r="C10" s="7" t="s">
        <v>119</v>
      </c>
      <c r="D10" s="7" t="s">
        <v>119</v>
      </c>
      <c r="E10" s="11" t="s">
        <v>150</v>
      </c>
      <c r="F10" s="11" t="s">
        <v>151</v>
      </c>
      <c r="G10" s="25" t="s">
        <v>135</v>
      </c>
      <c r="H10" s="11" t="s">
        <v>152</v>
      </c>
      <c r="I10" s="11" t="s">
        <v>124</v>
      </c>
      <c r="J10" s="7" t="s">
        <v>124</v>
      </c>
      <c r="K10" s="26" t="s">
        <v>143</v>
      </c>
      <c r="L10" s="7" t="s">
        <v>137</v>
      </c>
      <c r="M10" s="7" t="s">
        <v>124</v>
      </c>
      <c r="N10" s="7" t="s">
        <v>138</v>
      </c>
      <c r="O10" s="7" t="s">
        <v>24</v>
      </c>
      <c r="P10" s="8">
        <v>0.1</v>
      </c>
      <c r="Q10" s="23">
        <v>46325</v>
      </c>
      <c r="R10" s="23">
        <v>46325</v>
      </c>
      <c r="S10" s="23" t="s">
        <v>124</v>
      </c>
      <c r="T10" s="7" t="s">
        <v>40</v>
      </c>
    </row>
    <row r="11" spans="1:20" x14ac:dyDescent="0.25">
      <c r="A11" s="7">
        <v>7</v>
      </c>
      <c r="B11" s="7" t="s">
        <v>153</v>
      </c>
      <c r="C11" s="7" t="s">
        <v>119</v>
      </c>
      <c r="D11" s="7" t="s">
        <v>119</v>
      </c>
      <c r="E11" s="11" t="s">
        <v>150</v>
      </c>
      <c r="F11" s="11" t="s">
        <v>154</v>
      </c>
      <c r="G11" s="25" t="s">
        <v>135</v>
      </c>
      <c r="H11" s="11" t="s">
        <v>155</v>
      </c>
      <c r="I11" s="11" t="s">
        <v>124</v>
      </c>
      <c r="J11" s="7" t="s">
        <v>124</v>
      </c>
      <c r="K11" s="26" t="s">
        <v>143</v>
      </c>
      <c r="L11" s="7" t="s">
        <v>137</v>
      </c>
      <c r="M11" s="7" t="s">
        <v>124</v>
      </c>
      <c r="N11" s="7" t="s">
        <v>138</v>
      </c>
      <c r="O11" s="7" t="s">
        <v>24</v>
      </c>
      <c r="P11" s="8">
        <v>0.1</v>
      </c>
      <c r="Q11" s="23">
        <v>46325</v>
      </c>
      <c r="R11" s="23">
        <v>46325</v>
      </c>
      <c r="S11" s="23" t="s">
        <v>124</v>
      </c>
      <c r="T11" s="7" t="s">
        <v>40</v>
      </c>
    </row>
    <row r="12" spans="1:20" x14ac:dyDescent="0.25">
      <c r="A12" s="7">
        <v>8</v>
      </c>
      <c r="B12" s="7" t="s">
        <v>156</v>
      </c>
      <c r="C12" s="7" t="s">
        <v>119</v>
      </c>
      <c r="D12" s="7" t="s">
        <v>119</v>
      </c>
      <c r="E12" s="11" t="s">
        <v>150</v>
      </c>
      <c r="F12" s="11" t="s">
        <v>157</v>
      </c>
      <c r="G12" s="25" t="s">
        <v>135</v>
      </c>
      <c r="H12" s="11" t="s">
        <v>158</v>
      </c>
      <c r="I12" s="11" t="s">
        <v>124</v>
      </c>
      <c r="J12" s="7" t="s">
        <v>124</v>
      </c>
      <c r="K12" s="26" t="s">
        <v>143</v>
      </c>
      <c r="L12" s="7" t="s">
        <v>137</v>
      </c>
      <c r="M12" s="7" t="s">
        <v>124</v>
      </c>
      <c r="N12" s="7" t="s">
        <v>138</v>
      </c>
      <c r="O12" s="7" t="s">
        <v>24</v>
      </c>
      <c r="P12" s="8">
        <v>0.1</v>
      </c>
      <c r="Q12" s="23">
        <v>46325</v>
      </c>
      <c r="R12" s="23">
        <v>46325</v>
      </c>
      <c r="S12" s="23" t="s">
        <v>124</v>
      </c>
      <c r="T12" s="7" t="s">
        <v>40</v>
      </c>
    </row>
    <row r="13" spans="1:20" x14ac:dyDescent="0.25">
      <c r="A13" s="7">
        <v>9</v>
      </c>
      <c r="B13" s="7" t="s">
        <v>159</v>
      </c>
      <c r="C13" s="7" t="s">
        <v>119</v>
      </c>
      <c r="D13" s="7" t="s">
        <v>119</v>
      </c>
      <c r="E13" s="11" t="s">
        <v>160</v>
      </c>
      <c r="F13" s="11" t="s">
        <v>161</v>
      </c>
      <c r="G13" s="25" t="s">
        <v>135</v>
      </c>
      <c r="H13" s="11" t="s">
        <v>162</v>
      </c>
      <c r="I13" s="11" t="s">
        <v>163</v>
      </c>
      <c r="J13" s="7" t="s">
        <v>124</v>
      </c>
      <c r="K13" s="26" t="s">
        <v>143</v>
      </c>
      <c r="L13" s="7" t="s">
        <v>137</v>
      </c>
      <c r="M13" s="7" t="s">
        <v>124</v>
      </c>
      <c r="N13" s="7" t="s">
        <v>138</v>
      </c>
      <c r="O13" s="7" t="s">
        <v>24</v>
      </c>
      <c r="P13" s="8">
        <v>0.1</v>
      </c>
      <c r="Q13" s="23">
        <v>46325</v>
      </c>
      <c r="R13" s="23">
        <v>46325</v>
      </c>
      <c r="S13" s="23" t="s">
        <v>124</v>
      </c>
      <c r="T13" s="7" t="s">
        <v>40</v>
      </c>
    </row>
    <row r="14" spans="1:20" x14ac:dyDescent="0.25">
      <c r="A14" s="7">
        <v>10</v>
      </c>
      <c r="B14" s="7" t="s">
        <v>164</v>
      </c>
      <c r="C14" s="7" t="s">
        <v>119</v>
      </c>
      <c r="D14" s="7" t="s">
        <v>119</v>
      </c>
      <c r="E14" s="11" t="s">
        <v>165</v>
      </c>
      <c r="F14" s="11" t="s">
        <v>166</v>
      </c>
      <c r="G14" s="25" t="s">
        <v>135</v>
      </c>
      <c r="H14" s="11" t="s">
        <v>167</v>
      </c>
      <c r="I14" s="11" t="s">
        <v>124</v>
      </c>
      <c r="J14" s="7" t="s">
        <v>124</v>
      </c>
      <c r="K14" s="26" t="s">
        <v>143</v>
      </c>
      <c r="L14" s="7" t="s">
        <v>144</v>
      </c>
      <c r="M14" s="7" t="s">
        <v>124</v>
      </c>
      <c r="N14" s="7" t="s">
        <v>138</v>
      </c>
      <c r="O14" s="7" t="s">
        <v>24</v>
      </c>
      <c r="P14" s="8">
        <v>0.1</v>
      </c>
      <c r="Q14" s="23">
        <v>46332</v>
      </c>
      <c r="R14" s="23">
        <v>46332</v>
      </c>
      <c r="S14" s="23" t="s">
        <v>124</v>
      </c>
      <c r="T14" s="7" t="s">
        <v>40</v>
      </c>
    </row>
    <row r="15" spans="1:20" x14ac:dyDescent="0.25">
      <c r="A15" s="7">
        <v>11</v>
      </c>
      <c r="B15" s="7" t="s">
        <v>168</v>
      </c>
      <c r="C15" s="7" t="s">
        <v>119</v>
      </c>
      <c r="D15" s="7" t="s">
        <v>119</v>
      </c>
      <c r="E15" s="11" t="s">
        <v>165</v>
      </c>
      <c r="F15" s="11" t="s">
        <v>169</v>
      </c>
      <c r="G15" s="25" t="s">
        <v>135</v>
      </c>
      <c r="H15" s="11" t="s">
        <v>170</v>
      </c>
      <c r="I15" s="11" t="s">
        <v>124</v>
      </c>
      <c r="J15" s="7" t="s">
        <v>124</v>
      </c>
      <c r="K15" s="26" t="s">
        <v>143</v>
      </c>
      <c r="L15" s="7" t="s">
        <v>144</v>
      </c>
      <c r="M15" s="7" t="s">
        <v>124</v>
      </c>
      <c r="N15" s="7" t="s">
        <v>138</v>
      </c>
      <c r="O15" s="7" t="s">
        <v>24</v>
      </c>
      <c r="P15" s="8">
        <v>0.1</v>
      </c>
      <c r="Q15" s="23">
        <v>46332</v>
      </c>
      <c r="R15" s="23">
        <v>46332</v>
      </c>
      <c r="S15" s="23" t="s">
        <v>124</v>
      </c>
      <c r="T15" s="7" t="s">
        <v>40</v>
      </c>
    </row>
    <row r="16" spans="1:20" x14ac:dyDescent="0.25">
      <c r="A16" s="7">
        <v>12</v>
      </c>
      <c r="B16" s="7" t="s">
        <v>171</v>
      </c>
      <c r="C16" s="7" t="s">
        <v>119</v>
      </c>
      <c r="D16" s="7" t="s">
        <v>119</v>
      </c>
      <c r="E16" s="11" t="s">
        <v>172</v>
      </c>
      <c r="F16" s="11" t="s">
        <v>173</v>
      </c>
      <c r="G16" s="25" t="s">
        <v>135</v>
      </c>
      <c r="H16" s="11" t="s">
        <v>174</v>
      </c>
      <c r="I16" s="11" t="s">
        <v>175</v>
      </c>
      <c r="J16" s="7" t="s">
        <v>176</v>
      </c>
      <c r="K16" s="24" t="s">
        <v>132</v>
      </c>
      <c r="L16" s="7" t="s">
        <v>144</v>
      </c>
      <c r="M16" s="7" t="s">
        <v>124</v>
      </c>
      <c r="N16" s="7" t="s">
        <v>128</v>
      </c>
      <c r="O16" s="7" t="s">
        <v>24</v>
      </c>
      <c r="P16" s="8">
        <v>0.25</v>
      </c>
      <c r="Q16" s="23">
        <v>46339</v>
      </c>
      <c r="R16" s="23">
        <v>46339</v>
      </c>
      <c r="S16" s="23" t="s">
        <v>124</v>
      </c>
      <c r="T16" s="7" t="s">
        <v>40</v>
      </c>
    </row>
    <row r="17" spans="1:20" x14ac:dyDescent="0.25">
      <c r="A17" s="7">
        <v>13</v>
      </c>
      <c r="B17" s="7" t="s">
        <v>177</v>
      </c>
      <c r="C17" s="7" t="s">
        <v>119</v>
      </c>
      <c r="D17" s="7" t="s">
        <v>119</v>
      </c>
      <c r="E17" s="11" t="s">
        <v>172</v>
      </c>
      <c r="F17" s="11" t="s">
        <v>178</v>
      </c>
      <c r="G17" s="25" t="s">
        <v>135</v>
      </c>
      <c r="H17" s="11" t="s">
        <v>179</v>
      </c>
      <c r="I17" s="11" t="s">
        <v>175</v>
      </c>
      <c r="J17" s="7" t="s">
        <v>176</v>
      </c>
      <c r="K17" s="24" t="s">
        <v>132</v>
      </c>
      <c r="L17" s="7" t="s">
        <v>144</v>
      </c>
      <c r="M17" s="7" t="s">
        <v>124</v>
      </c>
      <c r="N17" s="7" t="s">
        <v>128</v>
      </c>
      <c r="O17" s="7" t="s">
        <v>24</v>
      </c>
      <c r="P17" s="8">
        <v>0.25</v>
      </c>
      <c r="Q17" s="23">
        <v>46339</v>
      </c>
      <c r="R17" s="23">
        <v>46342</v>
      </c>
      <c r="S17" s="23" t="s">
        <v>124</v>
      </c>
      <c r="T17" s="7" t="s">
        <v>40</v>
      </c>
    </row>
    <row r="18" spans="1:20" x14ac:dyDescent="0.25">
      <c r="A18" s="7">
        <v>14</v>
      </c>
      <c r="B18" s="7" t="s">
        <v>180</v>
      </c>
      <c r="C18" s="7" t="s">
        <v>181</v>
      </c>
      <c r="D18" s="7" t="s">
        <v>182</v>
      </c>
      <c r="E18" s="11" t="s">
        <v>183</v>
      </c>
      <c r="F18" s="11" t="s">
        <v>184</v>
      </c>
      <c r="G18" s="21" t="s">
        <v>122</v>
      </c>
      <c r="H18" s="11" t="s">
        <v>185</v>
      </c>
      <c r="I18" s="11" t="s">
        <v>186</v>
      </c>
      <c r="J18" s="7" t="s">
        <v>187</v>
      </c>
      <c r="K18" s="22" t="s">
        <v>125</v>
      </c>
      <c r="L18" s="7" t="s">
        <v>126</v>
      </c>
      <c r="M18" s="7" t="s">
        <v>127</v>
      </c>
      <c r="N18" s="7" t="s">
        <v>128</v>
      </c>
      <c r="O18" s="7" t="s">
        <v>24</v>
      </c>
      <c r="P18" s="8">
        <v>0.5</v>
      </c>
      <c r="Q18" s="23">
        <v>46332</v>
      </c>
      <c r="R18" s="23">
        <v>46335</v>
      </c>
      <c r="S18" s="23">
        <v>46339</v>
      </c>
      <c r="T18" s="7" t="s">
        <v>40</v>
      </c>
    </row>
    <row r="19" spans="1:20" x14ac:dyDescent="0.25">
      <c r="A19" s="7">
        <v>15</v>
      </c>
      <c r="B19" s="7" t="s">
        <v>188</v>
      </c>
      <c r="C19" s="7" t="s">
        <v>181</v>
      </c>
      <c r="D19" s="7" t="s">
        <v>182</v>
      </c>
      <c r="E19" s="11" t="s">
        <v>183</v>
      </c>
      <c r="F19" s="11" t="s">
        <v>189</v>
      </c>
      <c r="G19" s="25" t="s">
        <v>135</v>
      </c>
      <c r="H19" s="11" t="s">
        <v>190</v>
      </c>
      <c r="I19" s="11" t="s">
        <v>191</v>
      </c>
      <c r="J19" s="7" t="s">
        <v>124</v>
      </c>
      <c r="K19" s="22" t="s">
        <v>125</v>
      </c>
      <c r="L19" s="7" t="s">
        <v>137</v>
      </c>
      <c r="M19" s="7" t="s">
        <v>124</v>
      </c>
      <c r="N19" s="7" t="s">
        <v>138</v>
      </c>
      <c r="O19" s="7" t="s">
        <v>24</v>
      </c>
      <c r="P19" s="8">
        <v>0.25</v>
      </c>
      <c r="Q19" s="23">
        <v>46335</v>
      </c>
      <c r="R19" s="23">
        <v>46335</v>
      </c>
      <c r="S19" s="23">
        <v>46339</v>
      </c>
      <c r="T19" s="7" t="s">
        <v>40</v>
      </c>
    </row>
    <row r="20" spans="1:20" x14ac:dyDescent="0.25">
      <c r="A20" s="7">
        <v>16</v>
      </c>
      <c r="B20" s="7" t="s">
        <v>192</v>
      </c>
      <c r="C20" s="7" t="s">
        <v>181</v>
      </c>
      <c r="D20" s="7" t="s">
        <v>182</v>
      </c>
      <c r="E20" s="11" t="s">
        <v>183</v>
      </c>
      <c r="F20" s="11" t="s">
        <v>193</v>
      </c>
      <c r="G20" s="25" t="s">
        <v>135</v>
      </c>
      <c r="H20" s="11" t="s">
        <v>194</v>
      </c>
      <c r="I20" s="11" t="s">
        <v>191</v>
      </c>
      <c r="J20" s="7" t="s">
        <v>124</v>
      </c>
      <c r="K20" s="26" t="s">
        <v>143</v>
      </c>
      <c r="L20" s="7" t="s">
        <v>137</v>
      </c>
      <c r="M20" s="7" t="s">
        <v>124</v>
      </c>
      <c r="N20" s="7" t="s">
        <v>138</v>
      </c>
      <c r="O20" s="7" t="s">
        <v>24</v>
      </c>
      <c r="P20" s="8">
        <v>0.05</v>
      </c>
      <c r="Q20" s="23">
        <v>46335</v>
      </c>
      <c r="R20" s="23">
        <v>46335</v>
      </c>
      <c r="S20" s="23">
        <v>46339</v>
      </c>
      <c r="T20" s="7" t="s">
        <v>40</v>
      </c>
    </row>
    <row r="21" spans="1:20" x14ac:dyDescent="0.25">
      <c r="A21" s="7">
        <v>17</v>
      </c>
      <c r="B21" s="7" t="s">
        <v>195</v>
      </c>
      <c r="C21" s="7" t="s">
        <v>181</v>
      </c>
      <c r="D21" s="7" t="s">
        <v>182</v>
      </c>
      <c r="E21" s="11" t="s">
        <v>196</v>
      </c>
      <c r="F21" s="11" t="s">
        <v>184</v>
      </c>
      <c r="G21" s="21" t="s">
        <v>122</v>
      </c>
      <c r="H21" s="11" t="s">
        <v>197</v>
      </c>
      <c r="I21" s="11" t="s">
        <v>186</v>
      </c>
      <c r="J21" s="7" t="s">
        <v>187</v>
      </c>
      <c r="K21" s="22" t="s">
        <v>125</v>
      </c>
      <c r="L21" s="7" t="s">
        <v>126</v>
      </c>
      <c r="M21" s="7" t="s">
        <v>127</v>
      </c>
      <c r="N21" s="7" t="s">
        <v>128</v>
      </c>
      <c r="O21" s="7" t="s">
        <v>24</v>
      </c>
      <c r="P21" s="8">
        <v>0.25</v>
      </c>
      <c r="Q21" s="23">
        <v>46335</v>
      </c>
      <c r="R21" s="23">
        <v>46335</v>
      </c>
      <c r="S21" s="23">
        <v>46339</v>
      </c>
      <c r="T21" s="7" t="s">
        <v>40</v>
      </c>
    </row>
    <row r="22" spans="1:20" x14ac:dyDescent="0.25">
      <c r="A22" s="7">
        <v>18</v>
      </c>
      <c r="B22" s="7" t="s">
        <v>198</v>
      </c>
      <c r="C22" s="7" t="s">
        <v>181</v>
      </c>
      <c r="D22" s="7" t="s">
        <v>182</v>
      </c>
      <c r="E22" s="11" t="s">
        <v>196</v>
      </c>
      <c r="F22" s="11" t="s">
        <v>199</v>
      </c>
      <c r="G22" s="25" t="s">
        <v>135</v>
      </c>
      <c r="H22" s="11" t="s">
        <v>200</v>
      </c>
      <c r="I22" s="11" t="s">
        <v>191</v>
      </c>
      <c r="J22" s="7" t="s">
        <v>124</v>
      </c>
      <c r="K22" s="22" t="s">
        <v>125</v>
      </c>
      <c r="L22" s="7" t="s">
        <v>137</v>
      </c>
      <c r="M22" s="7" t="s">
        <v>124</v>
      </c>
      <c r="N22" s="7" t="s">
        <v>138</v>
      </c>
      <c r="O22" s="7" t="s">
        <v>24</v>
      </c>
      <c r="P22" s="8">
        <v>0.1</v>
      </c>
      <c r="Q22" s="23">
        <v>46335</v>
      </c>
      <c r="R22" s="23">
        <v>46335</v>
      </c>
      <c r="S22" s="23">
        <v>46339</v>
      </c>
      <c r="T22" s="7" t="s">
        <v>40</v>
      </c>
    </row>
    <row r="23" spans="1:20" x14ac:dyDescent="0.25">
      <c r="A23" s="7">
        <v>19</v>
      </c>
      <c r="B23" s="7" t="s">
        <v>201</v>
      </c>
      <c r="C23" s="7" t="s">
        <v>181</v>
      </c>
      <c r="D23" s="7" t="s">
        <v>182</v>
      </c>
      <c r="E23" s="11" t="s">
        <v>196</v>
      </c>
      <c r="F23" s="11" t="s">
        <v>202</v>
      </c>
      <c r="G23" s="25" t="s">
        <v>135</v>
      </c>
      <c r="H23" s="11" t="s">
        <v>203</v>
      </c>
      <c r="I23" s="11" t="s">
        <v>191</v>
      </c>
      <c r="J23" s="7" t="s">
        <v>124</v>
      </c>
      <c r="K23" s="26" t="s">
        <v>143</v>
      </c>
      <c r="L23" s="7" t="s">
        <v>137</v>
      </c>
      <c r="M23" s="7" t="s">
        <v>124</v>
      </c>
      <c r="N23" s="7" t="s">
        <v>138</v>
      </c>
      <c r="O23" s="7" t="s">
        <v>24</v>
      </c>
      <c r="P23" s="8">
        <v>0.05</v>
      </c>
      <c r="Q23" s="23">
        <v>46335</v>
      </c>
      <c r="R23" s="23">
        <v>46335</v>
      </c>
      <c r="S23" s="23">
        <v>46339</v>
      </c>
      <c r="T23" s="7" t="s">
        <v>40</v>
      </c>
    </row>
    <row r="24" spans="1:20" x14ac:dyDescent="0.25">
      <c r="A24" s="7">
        <v>20</v>
      </c>
      <c r="B24" s="7" t="s">
        <v>204</v>
      </c>
      <c r="C24" s="7" t="s">
        <v>181</v>
      </c>
      <c r="D24" s="7" t="s">
        <v>182</v>
      </c>
      <c r="E24" s="11" t="s">
        <v>205</v>
      </c>
      <c r="F24" s="11" t="s">
        <v>206</v>
      </c>
      <c r="G24" s="21" t="s">
        <v>122</v>
      </c>
      <c r="H24" s="11" t="s">
        <v>207</v>
      </c>
      <c r="I24" s="11" t="s">
        <v>208</v>
      </c>
      <c r="J24" s="7" t="s">
        <v>124</v>
      </c>
      <c r="K24" s="26" t="s">
        <v>143</v>
      </c>
      <c r="L24" s="7" t="s">
        <v>126</v>
      </c>
      <c r="M24" s="7" t="s">
        <v>127</v>
      </c>
      <c r="N24" s="7" t="s">
        <v>128</v>
      </c>
      <c r="O24" s="7" t="s">
        <v>24</v>
      </c>
      <c r="P24" s="8">
        <v>0.1</v>
      </c>
      <c r="Q24" s="23">
        <v>46335</v>
      </c>
      <c r="R24" s="23">
        <v>46335</v>
      </c>
      <c r="S24" s="23">
        <v>46339</v>
      </c>
      <c r="T24" s="7" t="s">
        <v>40</v>
      </c>
    </row>
    <row r="25" spans="1:20" x14ac:dyDescent="0.25">
      <c r="A25" s="7">
        <v>21</v>
      </c>
      <c r="B25" s="7" t="s">
        <v>209</v>
      </c>
      <c r="C25" s="7" t="s">
        <v>181</v>
      </c>
      <c r="D25" s="7" t="s">
        <v>182</v>
      </c>
      <c r="E25" s="11" t="s">
        <v>205</v>
      </c>
      <c r="F25" s="11" t="s">
        <v>199</v>
      </c>
      <c r="G25" s="25" t="s">
        <v>135</v>
      </c>
      <c r="H25" s="11" t="s">
        <v>210</v>
      </c>
      <c r="I25" s="11" t="s">
        <v>191</v>
      </c>
      <c r="J25" s="7" t="s">
        <v>124</v>
      </c>
      <c r="K25" s="26" t="s">
        <v>143</v>
      </c>
      <c r="L25" s="7" t="s">
        <v>137</v>
      </c>
      <c r="M25" s="7" t="s">
        <v>124</v>
      </c>
      <c r="N25" s="7" t="s">
        <v>138</v>
      </c>
      <c r="O25" s="7" t="s">
        <v>24</v>
      </c>
      <c r="P25" s="8">
        <v>0.05</v>
      </c>
      <c r="Q25" s="23">
        <v>46335</v>
      </c>
      <c r="R25" s="23">
        <v>46335</v>
      </c>
      <c r="S25" s="23">
        <v>46339</v>
      </c>
      <c r="T25" s="7" t="s">
        <v>40</v>
      </c>
    </row>
    <row r="26" spans="1:20" x14ac:dyDescent="0.25">
      <c r="A26" s="7">
        <v>22</v>
      </c>
      <c r="B26" s="7" t="s">
        <v>211</v>
      </c>
      <c r="C26" s="7" t="s">
        <v>181</v>
      </c>
      <c r="D26" s="7" t="s">
        <v>182</v>
      </c>
      <c r="E26" s="11" t="s">
        <v>212</v>
      </c>
      <c r="F26" s="11" t="s">
        <v>206</v>
      </c>
      <c r="G26" s="21" t="s">
        <v>122</v>
      </c>
      <c r="H26" s="11" t="s">
        <v>213</v>
      </c>
      <c r="I26" s="11" t="s">
        <v>214</v>
      </c>
      <c r="J26" s="7" t="s">
        <v>124</v>
      </c>
      <c r="K26" s="26" t="s">
        <v>143</v>
      </c>
      <c r="L26" s="7" t="s">
        <v>126</v>
      </c>
      <c r="M26" s="7" t="s">
        <v>127</v>
      </c>
      <c r="N26" s="7" t="s">
        <v>128</v>
      </c>
      <c r="O26" s="7" t="s">
        <v>24</v>
      </c>
      <c r="P26" s="8">
        <v>0.1</v>
      </c>
      <c r="Q26" s="23">
        <v>46335</v>
      </c>
      <c r="R26" s="23">
        <v>46335</v>
      </c>
      <c r="S26" s="23">
        <v>46339</v>
      </c>
      <c r="T26" s="7" t="s">
        <v>40</v>
      </c>
    </row>
    <row r="27" spans="1:20" x14ac:dyDescent="0.25">
      <c r="A27" s="7">
        <v>23</v>
      </c>
      <c r="B27" s="7" t="s">
        <v>215</v>
      </c>
      <c r="C27" s="7" t="s">
        <v>181</v>
      </c>
      <c r="D27" s="7" t="s">
        <v>182</v>
      </c>
      <c r="E27" s="11" t="s">
        <v>212</v>
      </c>
      <c r="F27" s="11" t="s">
        <v>199</v>
      </c>
      <c r="G27" s="25" t="s">
        <v>135</v>
      </c>
      <c r="H27" s="11" t="s">
        <v>216</v>
      </c>
      <c r="I27" s="11" t="s">
        <v>191</v>
      </c>
      <c r="J27" s="7" t="s">
        <v>124</v>
      </c>
      <c r="K27" s="26" t="s">
        <v>143</v>
      </c>
      <c r="L27" s="7" t="s">
        <v>137</v>
      </c>
      <c r="M27" s="7" t="s">
        <v>124</v>
      </c>
      <c r="N27" s="7" t="s">
        <v>138</v>
      </c>
      <c r="O27" s="7" t="s">
        <v>24</v>
      </c>
      <c r="P27" s="8">
        <v>0.05</v>
      </c>
      <c r="Q27" s="23">
        <v>46336</v>
      </c>
      <c r="R27" s="23">
        <v>46336</v>
      </c>
      <c r="S27" s="23">
        <v>46339</v>
      </c>
      <c r="T27" s="7" t="s">
        <v>40</v>
      </c>
    </row>
    <row r="28" spans="1:20" x14ac:dyDescent="0.25">
      <c r="A28" s="7">
        <v>24</v>
      </c>
      <c r="B28" s="7" t="s">
        <v>217</v>
      </c>
      <c r="C28" s="7" t="s">
        <v>181</v>
      </c>
      <c r="D28" s="7" t="s">
        <v>182</v>
      </c>
      <c r="E28" s="11" t="s">
        <v>218</v>
      </c>
      <c r="F28" s="11" t="s">
        <v>206</v>
      </c>
      <c r="G28" s="21" t="s">
        <v>122</v>
      </c>
      <c r="H28" s="11" t="s">
        <v>219</v>
      </c>
      <c r="I28" s="11" t="s">
        <v>220</v>
      </c>
      <c r="J28" s="7" t="s">
        <v>124</v>
      </c>
      <c r="K28" s="24" t="s">
        <v>132</v>
      </c>
      <c r="L28" s="7" t="s">
        <v>126</v>
      </c>
      <c r="M28" s="7" t="s">
        <v>127</v>
      </c>
      <c r="N28" s="7" t="s">
        <v>128</v>
      </c>
      <c r="O28" s="7" t="s">
        <v>24</v>
      </c>
      <c r="P28" s="8">
        <v>0.25</v>
      </c>
      <c r="Q28" s="23">
        <v>46336</v>
      </c>
      <c r="R28" s="23">
        <v>46336</v>
      </c>
      <c r="S28" s="23">
        <v>46339</v>
      </c>
      <c r="T28" s="7" t="s">
        <v>40</v>
      </c>
    </row>
    <row r="29" spans="1:20" x14ac:dyDescent="0.25">
      <c r="A29" s="7">
        <v>25</v>
      </c>
      <c r="B29" s="7" t="s">
        <v>221</v>
      </c>
      <c r="C29" s="7" t="s">
        <v>181</v>
      </c>
      <c r="D29" s="7" t="s">
        <v>182</v>
      </c>
      <c r="E29" s="11" t="s">
        <v>218</v>
      </c>
      <c r="F29" s="11" t="s">
        <v>199</v>
      </c>
      <c r="G29" s="25" t="s">
        <v>135</v>
      </c>
      <c r="H29" s="11" t="s">
        <v>222</v>
      </c>
      <c r="I29" s="11" t="s">
        <v>191</v>
      </c>
      <c r="J29" s="7" t="s">
        <v>124</v>
      </c>
      <c r="K29" s="24" t="s">
        <v>132</v>
      </c>
      <c r="L29" s="7" t="s">
        <v>137</v>
      </c>
      <c r="M29" s="7" t="s">
        <v>124</v>
      </c>
      <c r="N29" s="7" t="s">
        <v>138</v>
      </c>
      <c r="O29" s="7" t="s">
        <v>24</v>
      </c>
      <c r="P29" s="8">
        <v>0.25</v>
      </c>
      <c r="Q29" s="23">
        <v>46336</v>
      </c>
      <c r="R29" s="23">
        <v>46336</v>
      </c>
      <c r="S29" s="23">
        <v>46339</v>
      </c>
      <c r="T29" s="7" t="s">
        <v>40</v>
      </c>
    </row>
    <row r="30" spans="1:20" x14ac:dyDescent="0.25">
      <c r="A30" s="7">
        <v>26</v>
      </c>
      <c r="B30" s="7" t="s">
        <v>223</v>
      </c>
      <c r="C30" s="7" t="s">
        <v>181</v>
      </c>
      <c r="D30" s="7" t="s">
        <v>182</v>
      </c>
      <c r="E30" s="11" t="s">
        <v>224</v>
      </c>
      <c r="F30" s="11" t="s">
        <v>206</v>
      </c>
      <c r="G30" s="21" t="s">
        <v>122</v>
      </c>
      <c r="H30" s="11" t="s">
        <v>225</v>
      </c>
      <c r="I30" s="11" t="s">
        <v>226</v>
      </c>
      <c r="J30" s="7" t="s">
        <v>124</v>
      </c>
      <c r="K30" s="26" t="s">
        <v>143</v>
      </c>
      <c r="L30" s="7" t="s">
        <v>126</v>
      </c>
      <c r="M30" s="7" t="s">
        <v>127</v>
      </c>
      <c r="N30" s="7" t="s">
        <v>128</v>
      </c>
      <c r="O30" s="7" t="s">
        <v>24</v>
      </c>
      <c r="P30" s="8">
        <v>0.1</v>
      </c>
      <c r="Q30" s="23">
        <v>46336</v>
      </c>
      <c r="R30" s="23">
        <v>46336</v>
      </c>
      <c r="S30" s="23">
        <v>46339</v>
      </c>
      <c r="T30" s="7" t="s">
        <v>40</v>
      </c>
    </row>
    <row r="31" spans="1:20" x14ac:dyDescent="0.25">
      <c r="A31" s="7">
        <v>27</v>
      </c>
      <c r="B31" s="7" t="s">
        <v>227</v>
      </c>
      <c r="C31" s="7" t="s">
        <v>181</v>
      </c>
      <c r="D31" s="7" t="s">
        <v>182</v>
      </c>
      <c r="E31" s="11" t="s">
        <v>224</v>
      </c>
      <c r="F31" s="11" t="s">
        <v>199</v>
      </c>
      <c r="G31" s="25" t="s">
        <v>135</v>
      </c>
      <c r="H31" s="11" t="s">
        <v>228</v>
      </c>
      <c r="I31" s="11" t="s">
        <v>191</v>
      </c>
      <c r="J31" s="7" t="s">
        <v>124</v>
      </c>
      <c r="K31" s="26" t="s">
        <v>143</v>
      </c>
      <c r="L31" s="7" t="s">
        <v>137</v>
      </c>
      <c r="M31" s="7" t="s">
        <v>124</v>
      </c>
      <c r="N31" s="7" t="s">
        <v>138</v>
      </c>
      <c r="O31" s="7" t="s">
        <v>24</v>
      </c>
      <c r="P31" s="8">
        <v>0.05</v>
      </c>
      <c r="Q31" s="23">
        <v>46336</v>
      </c>
      <c r="R31" s="23">
        <v>46336</v>
      </c>
      <c r="S31" s="23">
        <v>46339</v>
      </c>
      <c r="T31" s="7" t="s">
        <v>40</v>
      </c>
    </row>
    <row r="32" spans="1:20" x14ac:dyDescent="0.25">
      <c r="A32" s="7">
        <v>28</v>
      </c>
      <c r="B32" s="7" t="s">
        <v>229</v>
      </c>
      <c r="C32" s="7" t="s">
        <v>181</v>
      </c>
      <c r="D32" s="7" t="s">
        <v>182</v>
      </c>
      <c r="E32" s="11" t="s">
        <v>230</v>
      </c>
      <c r="F32" s="11" t="s">
        <v>206</v>
      </c>
      <c r="G32" s="21" t="s">
        <v>122</v>
      </c>
      <c r="H32" s="11" t="s">
        <v>231</v>
      </c>
      <c r="I32" s="11" t="s">
        <v>232</v>
      </c>
      <c r="J32" s="7" t="s">
        <v>124</v>
      </c>
      <c r="K32" s="26" t="s">
        <v>143</v>
      </c>
      <c r="L32" s="7" t="s">
        <v>126</v>
      </c>
      <c r="M32" s="7" t="s">
        <v>127</v>
      </c>
      <c r="N32" s="7" t="s">
        <v>128</v>
      </c>
      <c r="O32" s="7" t="s">
        <v>24</v>
      </c>
      <c r="P32" s="8">
        <v>0.1</v>
      </c>
      <c r="Q32" s="23">
        <v>46336</v>
      </c>
      <c r="R32" s="23">
        <v>46336</v>
      </c>
      <c r="S32" s="23">
        <v>46339</v>
      </c>
      <c r="T32" s="7" t="s">
        <v>40</v>
      </c>
    </row>
    <row r="33" spans="1:20" x14ac:dyDescent="0.25">
      <c r="A33" s="7">
        <v>29</v>
      </c>
      <c r="B33" s="7" t="s">
        <v>233</v>
      </c>
      <c r="C33" s="7" t="s">
        <v>181</v>
      </c>
      <c r="D33" s="7" t="s">
        <v>182</v>
      </c>
      <c r="E33" s="11" t="s">
        <v>230</v>
      </c>
      <c r="F33" s="11" t="s">
        <v>199</v>
      </c>
      <c r="G33" s="25" t="s">
        <v>135</v>
      </c>
      <c r="H33" s="11" t="s">
        <v>234</v>
      </c>
      <c r="I33" s="11" t="s">
        <v>191</v>
      </c>
      <c r="J33" s="7" t="s">
        <v>124</v>
      </c>
      <c r="K33" s="26" t="s">
        <v>143</v>
      </c>
      <c r="L33" s="7" t="s">
        <v>137</v>
      </c>
      <c r="M33" s="7" t="s">
        <v>124</v>
      </c>
      <c r="N33" s="7" t="s">
        <v>138</v>
      </c>
      <c r="O33" s="7" t="s">
        <v>24</v>
      </c>
      <c r="P33" s="8">
        <v>0.05</v>
      </c>
      <c r="Q33" s="23">
        <v>46336</v>
      </c>
      <c r="R33" s="23">
        <v>46336</v>
      </c>
      <c r="S33" s="23">
        <v>46339</v>
      </c>
      <c r="T33" s="7" t="s">
        <v>40</v>
      </c>
    </row>
    <row r="34" spans="1:20" x14ac:dyDescent="0.25">
      <c r="A34" s="7">
        <v>30</v>
      </c>
      <c r="B34" s="7" t="s">
        <v>235</v>
      </c>
      <c r="C34" s="7" t="s">
        <v>181</v>
      </c>
      <c r="D34" s="7" t="s">
        <v>182</v>
      </c>
      <c r="E34" s="11" t="s">
        <v>236</v>
      </c>
      <c r="F34" s="11" t="s">
        <v>206</v>
      </c>
      <c r="G34" s="21" t="s">
        <v>122</v>
      </c>
      <c r="H34" s="11" t="s">
        <v>237</v>
      </c>
      <c r="I34" s="11" t="s">
        <v>238</v>
      </c>
      <c r="J34" s="7" t="s">
        <v>124</v>
      </c>
      <c r="K34" s="26" t="s">
        <v>143</v>
      </c>
      <c r="L34" s="7" t="s">
        <v>126</v>
      </c>
      <c r="M34" s="7" t="s">
        <v>127</v>
      </c>
      <c r="N34" s="7" t="s">
        <v>128</v>
      </c>
      <c r="O34" s="7" t="s">
        <v>24</v>
      </c>
      <c r="P34" s="8">
        <v>0.1</v>
      </c>
      <c r="Q34" s="23">
        <v>46336</v>
      </c>
      <c r="R34" s="23">
        <v>46336</v>
      </c>
      <c r="S34" s="23">
        <v>46339</v>
      </c>
      <c r="T34" s="7" t="s">
        <v>40</v>
      </c>
    </row>
    <row r="35" spans="1:20" x14ac:dyDescent="0.25">
      <c r="A35" s="7">
        <v>31</v>
      </c>
      <c r="B35" s="7" t="s">
        <v>239</v>
      </c>
      <c r="C35" s="7" t="s">
        <v>181</v>
      </c>
      <c r="D35" s="7" t="s">
        <v>182</v>
      </c>
      <c r="E35" s="11" t="s">
        <v>236</v>
      </c>
      <c r="F35" s="11" t="s">
        <v>199</v>
      </c>
      <c r="G35" s="25" t="s">
        <v>135</v>
      </c>
      <c r="H35" s="11" t="s">
        <v>240</v>
      </c>
      <c r="I35" s="11" t="s">
        <v>191</v>
      </c>
      <c r="J35" s="7" t="s">
        <v>124</v>
      </c>
      <c r="K35" s="26" t="s">
        <v>143</v>
      </c>
      <c r="L35" s="7" t="s">
        <v>137</v>
      </c>
      <c r="M35" s="7" t="s">
        <v>124</v>
      </c>
      <c r="N35" s="7" t="s">
        <v>138</v>
      </c>
      <c r="O35" s="7" t="s">
        <v>24</v>
      </c>
      <c r="P35" s="8">
        <v>0.05</v>
      </c>
      <c r="Q35" s="23">
        <v>46336</v>
      </c>
      <c r="R35" s="23">
        <v>46336</v>
      </c>
      <c r="S35" s="23">
        <v>46339</v>
      </c>
      <c r="T35" s="7" t="s">
        <v>40</v>
      </c>
    </row>
    <row r="36" spans="1:20" x14ac:dyDescent="0.25">
      <c r="A36" s="7">
        <v>32</v>
      </c>
      <c r="B36" s="7" t="s">
        <v>241</v>
      </c>
      <c r="C36" s="7" t="s">
        <v>181</v>
      </c>
      <c r="D36" s="7" t="s">
        <v>182</v>
      </c>
      <c r="E36" s="11" t="s">
        <v>242</v>
      </c>
      <c r="F36" s="11" t="s">
        <v>206</v>
      </c>
      <c r="G36" s="21" t="s">
        <v>122</v>
      </c>
      <c r="H36" s="11" t="s">
        <v>243</v>
      </c>
      <c r="I36" s="11" t="s">
        <v>244</v>
      </c>
      <c r="J36" s="7" t="s">
        <v>124</v>
      </c>
      <c r="K36" s="26" t="s">
        <v>143</v>
      </c>
      <c r="L36" s="7" t="s">
        <v>126</v>
      </c>
      <c r="M36" s="7" t="s">
        <v>127</v>
      </c>
      <c r="N36" s="7" t="s">
        <v>128</v>
      </c>
      <c r="O36" s="7" t="s">
        <v>24</v>
      </c>
      <c r="P36" s="8">
        <v>0.1</v>
      </c>
      <c r="Q36" s="23">
        <v>46337</v>
      </c>
      <c r="R36" s="23">
        <v>46337</v>
      </c>
      <c r="S36" s="23">
        <v>46339</v>
      </c>
      <c r="T36" s="7" t="s">
        <v>40</v>
      </c>
    </row>
    <row r="37" spans="1:20" x14ac:dyDescent="0.25">
      <c r="A37" s="7">
        <v>33</v>
      </c>
      <c r="B37" s="7" t="s">
        <v>245</v>
      </c>
      <c r="C37" s="7" t="s">
        <v>181</v>
      </c>
      <c r="D37" s="7" t="s">
        <v>182</v>
      </c>
      <c r="E37" s="11" t="s">
        <v>242</v>
      </c>
      <c r="F37" s="11" t="s">
        <v>199</v>
      </c>
      <c r="G37" s="25" t="s">
        <v>135</v>
      </c>
      <c r="H37" s="11" t="s">
        <v>246</v>
      </c>
      <c r="I37" s="11" t="s">
        <v>191</v>
      </c>
      <c r="J37" s="7" t="s">
        <v>124</v>
      </c>
      <c r="K37" s="26" t="s">
        <v>143</v>
      </c>
      <c r="L37" s="7" t="s">
        <v>137</v>
      </c>
      <c r="M37" s="7" t="s">
        <v>124</v>
      </c>
      <c r="N37" s="7" t="s">
        <v>138</v>
      </c>
      <c r="O37" s="7" t="s">
        <v>24</v>
      </c>
      <c r="P37" s="8">
        <v>0.05</v>
      </c>
      <c r="Q37" s="23">
        <v>46337</v>
      </c>
      <c r="R37" s="23">
        <v>46337</v>
      </c>
      <c r="S37" s="23">
        <v>46339</v>
      </c>
      <c r="T37" s="7" t="s">
        <v>40</v>
      </c>
    </row>
    <row r="38" spans="1:20" x14ac:dyDescent="0.25">
      <c r="A38" s="7">
        <v>34</v>
      </c>
      <c r="B38" s="7" t="s">
        <v>247</v>
      </c>
      <c r="C38" s="7" t="s">
        <v>181</v>
      </c>
      <c r="D38" s="7" t="s">
        <v>182</v>
      </c>
      <c r="E38" s="11" t="s">
        <v>248</v>
      </c>
      <c r="F38" s="11" t="s">
        <v>206</v>
      </c>
      <c r="G38" s="21" t="s">
        <v>122</v>
      </c>
      <c r="H38" s="11" t="s">
        <v>249</v>
      </c>
      <c r="I38" s="11" t="s">
        <v>250</v>
      </c>
      <c r="J38" s="7" t="s">
        <v>124</v>
      </c>
      <c r="K38" s="26" t="s">
        <v>143</v>
      </c>
      <c r="L38" s="7" t="s">
        <v>126</v>
      </c>
      <c r="M38" s="7" t="s">
        <v>127</v>
      </c>
      <c r="N38" s="7" t="s">
        <v>128</v>
      </c>
      <c r="O38" s="7" t="s">
        <v>24</v>
      </c>
      <c r="P38" s="8">
        <v>0.1</v>
      </c>
      <c r="Q38" s="23">
        <v>46337</v>
      </c>
      <c r="R38" s="23">
        <v>46337</v>
      </c>
      <c r="S38" s="23">
        <v>46339</v>
      </c>
      <c r="T38" s="7" t="s">
        <v>40</v>
      </c>
    </row>
    <row r="39" spans="1:20" x14ac:dyDescent="0.25">
      <c r="A39" s="7">
        <v>35</v>
      </c>
      <c r="B39" s="7" t="s">
        <v>251</v>
      </c>
      <c r="C39" s="7" t="s">
        <v>181</v>
      </c>
      <c r="D39" s="7" t="s">
        <v>182</v>
      </c>
      <c r="E39" s="11" t="s">
        <v>248</v>
      </c>
      <c r="F39" s="11" t="s">
        <v>199</v>
      </c>
      <c r="G39" s="25" t="s">
        <v>135</v>
      </c>
      <c r="H39" s="11" t="s">
        <v>252</v>
      </c>
      <c r="I39" s="11" t="s">
        <v>191</v>
      </c>
      <c r="J39" s="7" t="s">
        <v>124</v>
      </c>
      <c r="K39" s="26" t="s">
        <v>143</v>
      </c>
      <c r="L39" s="7" t="s">
        <v>137</v>
      </c>
      <c r="M39" s="7" t="s">
        <v>124</v>
      </c>
      <c r="N39" s="7" t="s">
        <v>138</v>
      </c>
      <c r="O39" s="7" t="s">
        <v>24</v>
      </c>
      <c r="P39" s="8">
        <v>0.05</v>
      </c>
      <c r="Q39" s="23">
        <v>46337</v>
      </c>
      <c r="R39" s="23">
        <v>46337</v>
      </c>
      <c r="S39" s="23">
        <v>46339</v>
      </c>
      <c r="T39" s="7" t="s">
        <v>40</v>
      </c>
    </row>
    <row r="40" spans="1:20" x14ac:dyDescent="0.25">
      <c r="A40" s="7">
        <v>36</v>
      </c>
      <c r="B40" s="7" t="s">
        <v>253</v>
      </c>
      <c r="C40" s="7" t="s">
        <v>181</v>
      </c>
      <c r="D40" s="7" t="s">
        <v>182</v>
      </c>
      <c r="E40" s="11" t="s">
        <v>254</v>
      </c>
      <c r="F40" s="11" t="s">
        <v>206</v>
      </c>
      <c r="G40" s="21" t="s">
        <v>122</v>
      </c>
      <c r="H40" s="11" t="s">
        <v>255</v>
      </c>
      <c r="I40" s="11" t="s">
        <v>256</v>
      </c>
      <c r="J40" s="7" t="s">
        <v>124</v>
      </c>
      <c r="K40" s="26" t="s">
        <v>143</v>
      </c>
      <c r="L40" s="7" t="s">
        <v>126</v>
      </c>
      <c r="M40" s="7" t="s">
        <v>127</v>
      </c>
      <c r="N40" s="7" t="s">
        <v>128</v>
      </c>
      <c r="O40" s="7" t="s">
        <v>24</v>
      </c>
      <c r="P40" s="8">
        <v>0.1</v>
      </c>
      <c r="Q40" s="23">
        <v>46337</v>
      </c>
      <c r="R40" s="23">
        <v>46337</v>
      </c>
      <c r="S40" s="23">
        <v>46339</v>
      </c>
      <c r="T40" s="7" t="s">
        <v>40</v>
      </c>
    </row>
    <row r="41" spans="1:20" x14ac:dyDescent="0.25">
      <c r="A41" s="7">
        <v>37</v>
      </c>
      <c r="B41" s="7" t="s">
        <v>257</v>
      </c>
      <c r="C41" s="7" t="s">
        <v>181</v>
      </c>
      <c r="D41" s="7" t="s">
        <v>182</v>
      </c>
      <c r="E41" s="11" t="s">
        <v>254</v>
      </c>
      <c r="F41" s="11" t="s">
        <v>199</v>
      </c>
      <c r="G41" s="25" t="s">
        <v>135</v>
      </c>
      <c r="H41" s="11" t="s">
        <v>258</v>
      </c>
      <c r="I41" s="11" t="s">
        <v>191</v>
      </c>
      <c r="J41" s="7" t="s">
        <v>124</v>
      </c>
      <c r="K41" s="26" t="s">
        <v>143</v>
      </c>
      <c r="L41" s="7" t="s">
        <v>137</v>
      </c>
      <c r="M41" s="7" t="s">
        <v>124</v>
      </c>
      <c r="N41" s="7" t="s">
        <v>138</v>
      </c>
      <c r="O41" s="7" t="s">
        <v>24</v>
      </c>
      <c r="P41" s="8">
        <v>0.05</v>
      </c>
      <c r="Q41" s="23">
        <v>46337</v>
      </c>
      <c r="R41" s="23">
        <v>46337</v>
      </c>
      <c r="S41" s="23">
        <v>46339</v>
      </c>
      <c r="T41" s="7" t="s">
        <v>40</v>
      </c>
    </row>
    <row r="42" spans="1:20" x14ac:dyDescent="0.25">
      <c r="A42" s="7">
        <v>38</v>
      </c>
      <c r="B42" s="7" t="s">
        <v>259</v>
      </c>
      <c r="C42" s="7" t="s">
        <v>181</v>
      </c>
      <c r="D42" s="7" t="s">
        <v>182</v>
      </c>
      <c r="E42" s="11" t="s">
        <v>224</v>
      </c>
      <c r="F42" s="11" t="s">
        <v>260</v>
      </c>
      <c r="G42" s="25" t="s">
        <v>135</v>
      </c>
      <c r="H42" s="11" t="s">
        <v>261</v>
      </c>
      <c r="I42" s="11" t="s">
        <v>262</v>
      </c>
      <c r="J42" s="7" t="s">
        <v>124</v>
      </c>
      <c r="K42" s="26" t="s">
        <v>143</v>
      </c>
      <c r="L42" s="7" t="s">
        <v>137</v>
      </c>
      <c r="M42" s="7" t="s">
        <v>124</v>
      </c>
      <c r="N42" s="7" t="s">
        <v>138</v>
      </c>
      <c r="O42" s="7" t="s">
        <v>24</v>
      </c>
      <c r="P42" s="8">
        <v>0.05</v>
      </c>
      <c r="Q42" s="23">
        <v>46337</v>
      </c>
      <c r="R42" s="23">
        <v>46337</v>
      </c>
      <c r="S42" s="23">
        <v>46339</v>
      </c>
      <c r="T42" s="7" t="s">
        <v>40</v>
      </c>
    </row>
    <row r="43" spans="1:20" x14ac:dyDescent="0.25">
      <c r="A43" s="7">
        <v>39</v>
      </c>
      <c r="B43" s="7" t="s">
        <v>263</v>
      </c>
      <c r="C43" s="7" t="s">
        <v>181</v>
      </c>
      <c r="D43" s="7" t="s">
        <v>182</v>
      </c>
      <c r="E43" s="11" t="s">
        <v>264</v>
      </c>
      <c r="F43" s="11" t="s">
        <v>265</v>
      </c>
      <c r="G43" s="21" t="s">
        <v>122</v>
      </c>
      <c r="H43" s="11" t="s">
        <v>266</v>
      </c>
      <c r="I43" s="11" t="s">
        <v>267</v>
      </c>
      <c r="J43" s="7" t="s">
        <v>124</v>
      </c>
      <c r="K43" s="26" t="s">
        <v>143</v>
      </c>
      <c r="L43" s="7" t="s">
        <v>126</v>
      </c>
      <c r="M43" s="7" t="s">
        <v>127</v>
      </c>
      <c r="N43" s="7" t="s">
        <v>128</v>
      </c>
      <c r="O43" s="7" t="s">
        <v>24</v>
      </c>
      <c r="P43" s="8">
        <v>0.1</v>
      </c>
      <c r="Q43" s="23">
        <v>46337</v>
      </c>
      <c r="R43" s="23">
        <v>46337</v>
      </c>
      <c r="S43" s="23">
        <v>46339</v>
      </c>
      <c r="T43" s="7" t="s">
        <v>40</v>
      </c>
    </row>
    <row r="44" spans="1:20" x14ac:dyDescent="0.25">
      <c r="A44" s="7">
        <v>40</v>
      </c>
      <c r="B44" s="7" t="s">
        <v>268</v>
      </c>
      <c r="C44" s="7" t="s">
        <v>181</v>
      </c>
      <c r="D44" s="7" t="s">
        <v>182</v>
      </c>
      <c r="E44" s="11" t="s">
        <v>264</v>
      </c>
      <c r="F44" s="11" t="s">
        <v>269</v>
      </c>
      <c r="G44" s="25" t="s">
        <v>135</v>
      </c>
      <c r="H44" s="11" t="s">
        <v>270</v>
      </c>
      <c r="I44" s="11" t="s">
        <v>191</v>
      </c>
      <c r="J44" s="7" t="s">
        <v>124</v>
      </c>
      <c r="K44" s="26" t="s">
        <v>143</v>
      </c>
      <c r="L44" s="7" t="s">
        <v>137</v>
      </c>
      <c r="M44" s="7" t="s">
        <v>124</v>
      </c>
      <c r="N44" s="7" t="s">
        <v>138</v>
      </c>
      <c r="O44" s="7" t="s">
        <v>24</v>
      </c>
      <c r="P44" s="8">
        <v>0.05</v>
      </c>
      <c r="Q44" s="23">
        <v>46337</v>
      </c>
      <c r="R44" s="23">
        <v>46337</v>
      </c>
      <c r="S44" s="23">
        <v>46339</v>
      </c>
      <c r="T44" s="7" t="s">
        <v>40</v>
      </c>
    </row>
    <row r="45" spans="1:20" x14ac:dyDescent="0.25">
      <c r="A45" s="7">
        <v>41</v>
      </c>
      <c r="B45" s="7" t="s">
        <v>271</v>
      </c>
      <c r="C45" s="7" t="s">
        <v>272</v>
      </c>
      <c r="D45" s="7" t="s">
        <v>182</v>
      </c>
      <c r="E45" s="11" t="s">
        <v>273</v>
      </c>
      <c r="F45" s="11" t="s">
        <v>206</v>
      </c>
      <c r="G45" s="21" t="s">
        <v>122</v>
      </c>
      <c r="H45" s="11" t="s">
        <v>274</v>
      </c>
      <c r="I45" s="11" t="s">
        <v>275</v>
      </c>
      <c r="J45" s="7" t="s">
        <v>124</v>
      </c>
      <c r="K45" s="26" t="s">
        <v>143</v>
      </c>
      <c r="L45" s="7" t="s">
        <v>126</v>
      </c>
      <c r="M45" s="7" t="s">
        <v>127</v>
      </c>
      <c r="N45" s="7" t="s">
        <v>128</v>
      </c>
      <c r="O45" s="7" t="s">
        <v>24</v>
      </c>
      <c r="P45" s="8">
        <v>0.1</v>
      </c>
      <c r="Q45" s="23">
        <v>46337</v>
      </c>
      <c r="R45" s="23">
        <v>46337</v>
      </c>
      <c r="S45" s="23">
        <v>46339</v>
      </c>
      <c r="T45" s="7" t="s">
        <v>40</v>
      </c>
    </row>
    <row r="46" spans="1:20" x14ac:dyDescent="0.25">
      <c r="A46" s="7">
        <v>42</v>
      </c>
      <c r="B46" s="7" t="s">
        <v>276</v>
      </c>
      <c r="C46" s="7" t="s">
        <v>272</v>
      </c>
      <c r="D46" s="7" t="s">
        <v>182</v>
      </c>
      <c r="E46" s="11" t="s">
        <v>273</v>
      </c>
      <c r="F46" s="11" t="s">
        <v>277</v>
      </c>
      <c r="G46" s="25" t="s">
        <v>135</v>
      </c>
      <c r="H46" s="11" t="s">
        <v>278</v>
      </c>
      <c r="I46" s="11" t="s">
        <v>191</v>
      </c>
      <c r="J46" s="7" t="s">
        <v>124</v>
      </c>
      <c r="K46" s="26" t="s">
        <v>143</v>
      </c>
      <c r="L46" s="7" t="s">
        <v>137</v>
      </c>
      <c r="M46" s="7" t="s">
        <v>124</v>
      </c>
      <c r="N46" s="7" t="s">
        <v>138</v>
      </c>
      <c r="O46" s="7" t="s">
        <v>24</v>
      </c>
      <c r="P46" s="8">
        <v>0.05</v>
      </c>
      <c r="Q46" s="23">
        <v>46337</v>
      </c>
      <c r="R46" s="23">
        <v>46337</v>
      </c>
      <c r="S46" s="23">
        <v>46339</v>
      </c>
      <c r="T46" s="7" t="s">
        <v>40</v>
      </c>
    </row>
    <row r="47" spans="1:20" x14ac:dyDescent="0.25">
      <c r="A47" s="7">
        <v>43</v>
      </c>
      <c r="B47" s="7" t="s">
        <v>279</v>
      </c>
      <c r="C47" s="7" t="s">
        <v>272</v>
      </c>
      <c r="D47" s="7" t="s">
        <v>182</v>
      </c>
      <c r="E47" s="11" t="s">
        <v>273</v>
      </c>
      <c r="F47" s="11" t="s">
        <v>280</v>
      </c>
      <c r="G47" s="25" t="s">
        <v>135</v>
      </c>
      <c r="H47" s="11" t="s">
        <v>281</v>
      </c>
      <c r="I47" s="11" t="s">
        <v>191</v>
      </c>
      <c r="J47" s="7" t="s">
        <v>124</v>
      </c>
      <c r="K47" s="26" t="s">
        <v>143</v>
      </c>
      <c r="L47" s="7" t="s">
        <v>137</v>
      </c>
      <c r="M47" s="7" t="s">
        <v>124</v>
      </c>
      <c r="N47" s="7" t="s">
        <v>138</v>
      </c>
      <c r="O47" s="7" t="s">
        <v>24</v>
      </c>
      <c r="P47" s="8">
        <v>0.05</v>
      </c>
      <c r="Q47" s="23">
        <v>46337</v>
      </c>
      <c r="R47" s="23">
        <v>46337</v>
      </c>
      <c r="S47" s="23">
        <v>46339</v>
      </c>
      <c r="T47" s="7" t="s">
        <v>40</v>
      </c>
    </row>
    <row r="48" spans="1:20" x14ac:dyDescent="0.25">
      <c r="A48" s="7">
        <v>44</v>
      </c>
      <c r="B48" s="7" t="s">
        <v>282</v>
      </c>
      <c r="C48" s="7" t="s">
        <v>272</v>
      </c>
      <c r="D48" s="7" t="s">
        <v>182</v>
      </c>
      <c r="E48" s="11" t="s">
        <v>283</v>
      </c>
      <c r="F48" s="11" t="s">
        <v>206</v>
      </c>
      <c r="G48" s="21" t="s">
        <v>122</v>
      </c>
      <c r="H48" s="11" t="s">
        <v>284</v>
      </c>
      <c r="I48" s="11" t="s">
        <v>285</v>
      </c>
      <c r="J48" s="7" t="s">
        <v>124</v>
      </c>
      <c r="K48" s="26" t="s">
        <v>143</v>
      </c>
      <c r="L48" s="7" t="s">
        <v>126</v>
      </c>
      <c r="M48" s="7" t="s">
        <v>127</v>
      </c>
      <c r="N48" s="7" t="s">
        <v>128</v>
      </c>
      <c r="O48" s="7" t="s">
        <v>24</v>
      </c>
      <c r="P48" s="8">
        <v>0.1</v>
      </c>
      <c r="Q48" s="23">
        <v>46337</v>
      </c>
      <c r="R48" s="23">
        <v>46337</v>
      </c>
      <c r="S48" s="23">
        <v>46339</v>
      </c>
      <c r="T48" s="7" t="s">
        <v>40</v>
      </c>
    </row>
    <row r="49" spans="1:20" x14ac:dyDescent="0.25">
      <c r="A49" s="7">
        <v>45</v>
      </c>
      <c r="B49" s="7" t="s">
        <v>286</v>
      </c>
      <c r="C49" s="7" t="s">
        <v>272</v>
      </c>
      <c r="D49" s="7" t="s">
        <v>182</v>
      </c>
      <c r="E49" s="11" t="s">
        <v>283</v>
      </c>
      <c r="F49" s="11" t="s">
        <v>199</v>
      </c>
      <c r="G49" s="25" t="s">
        <v>135</v>
      </c>
      <c r="H49" s="11" t="s">
        <v>287</v>
      </c>
      <c r="I49" s="11" t="s">
        <v>191</v>
      </c>
      <c r="J49" s="7" t="s">
        <v>124</v>
      </c>
      <c r="K49" s="26" t="s">
        <v>143</v>
      </c>
      <c r="L49" s="7" t="s">
        <v>137</v>
      </c>
      <c r="M49" s="7" t="s">
        <v>124</v>
      </c>
      <c r="N49" s="7" t="s">
        <v>138</v>
      </c>
      <c r="O49" s="7" t="s">
        <v>24</v>
      </c>
      <c r="P49" s="8">
        <v>0.05</v>
      </c>
      <c r="Q49" s="23">
        <v>46337</v>
      </c>
      <c r="R49" s="23">
        <v>46337</v>
      </c>
      <c r="S49" s="23">
        <v>46339</v>
      </c>
      <c r="T49" s="7" t="s">
        <v>40</v>
      </c>
    </row>
    <row r="50" spans="1:20" x14ac:dyDescent="0.25">
      <c r="A50" s="7">
        <v>46</v>
      </c>
      <c r="B50" s="7" t="s">
        <v>288</v>
      </c>
      <c r="C50" s="7" t="s">
        <v>272</v>
      </c>
      <c r="D50" s="7" t="s">
        <v>182</v>
      </c>
      <c r="E50" s="11" t="s">
        <v>289</v>
      </c>
      <c r="F50" s="11" t="s">
        <v>206</v>
      </c>
      <c r="G50" s="21" t="s">
        <v>122</v>
      </c>
      <c r="H50" s="11" t="s">
        <v>290</v>
      </c>
      <c r="I50" s="11" t="s">
        <v>291</v>
      </c>
      <c r="J50" s="7" t="s">
        <v>124</v>
      </c>
      <c r="K50" s="26" t="s">
        <v>143</v>
      </c>
      <c r="L50" s="7" t="s">
        <v>126</v>
      </c>
      <c r="M50" s="7" t="s">
        <v>127</v>
      </c>
      <c r="N50" s="7" t="s">
        <v>128</v>
      </c>
      <c r="O50" s="7" t="s">
        <v>24</v>
      </c>
      <c r="P50" s="8">
        <v>0.1</v>
      </c>
      <c r="Q50" s="23">
        <v>46338</v>
      </c>
      <c r="R50" s="23">
        <v>46338</v>
      </c>
      <c r="S50" s="23">
        <v>46339</v>
      </c>
      <c r="T50" s="7" t="s">
        <v>40</v>
      </c>
    </row>
    <row r="51" spans="1:20" x14ac:dyDescent="0.25">
      <c r="A51" s="7">
        <v>47</v>
      </c>
      <c r="B51" s="7" t="s">
        <v>292</v>
      </c>
      <c r="C51" s="7" t="s">
        <v>272</v>
      </c>
      <c r="D51" s="7" t="s">
        <v>182</v>
      </c>
      <c r="E51" s="11" t="s">
        <v>289</v>
      </c>
      <c r="F51" s="11" t="s">
        <v>199</v>
      </c>
      <c r="G51" s="25" t="s">
        <v>135</v>
      </c>
      <c r="H51" s="11" t="s">
        <v>293</v>
      </c>
      <c r="I51" s="11" t="s">
        <v>191</v>
      </c>
      <c r="J51" s="7" t="s">
        <v>124</v>
      </c>
      <c r="K51" s="26" t="s">
        <v>143</v>
      </c>
      <c r="L51" s="7" t="s">
        <v>137</v>
      </c>
      <c r="M51" s="7" t="s">
        <v>124</v>
      </c>
      <c r="N51" s="7" t="s">
        <v>138</v>
      </c>
      <c r="O51" s="7" t="s">
        <v>24</v>
      </c>
      <c r="P51" s="8">
        <v>0.05</v>
      </c>
      <c r="Q51" s="23">
        <v>46338</v>
      </c>
      <c r="R51" s="23">
        <v>46338</v>
      </c>
      <c r="S51" s="23">
        <v>46339</v>
      </c>
      <c r="T51" s="7" t="s">
        <v>40</v>
      </c>
    </row>
    <row r="52" spans="1:20" x14ac:dyDescent="0.25">
      <c r="A52" s="7">
        <v>48</v>
      </c>
      <c r="B52" s="7" t="s">
        <v>294</v>
      </c>
      <c r="C52" s="7" t="s">
        <v>272</v>
      </c>
      <c r="D52" s="7" t="s">
        <v>182</v>
      </c>
      <c r="E52" s="11" t="s">
        <v>295</v>
      </c>
      <c r="F52" s="11" t="s">
        <v>206</v>
      </c>
      <c r="G52" s="21" t="s">
        <v>122</v>
      </c>
      <c r="H52" s="11" t="s">
        <v>296</v>
      </c>
      <c r="I52" s="11" t="s">
        <v>297</v>
      </c>
      <c r="J52" s="7" t="s">
        <v>124</v>
      </c>
      <c r="K52" s="26" t="s">
        <v>143</v>
      </c>
      <c r="L52" s="7" t="s">
        <v>126</v>
      </c>
      <c r="M52" s="7" t="s">
        <v>127</v>
      </c>
      <c r="N52" s="7" t="s">
        <v>128</v>
      </c>
      <c r="O52" s="7" t="s">
        <v>24</v>
      </c>
      <c r="P52" s="8">
        <v>0.1</v>
      </c>
      <c r="Q52" s="23">
        <v>46338</v>
      </c>
      <c r="R52" s="23">
        <v>46338</v>
      </c>
      <c r="S52" s="23">
        <v>46339</v>
      </c>
      <c r="T52" s="7" t="s">
        <v>40</v>
      </c>
    </row>
    <row r="53" spans="1:20" x14ac:dyDescent="0.25">
      <c r="A53" s="7">
        <v>49</v>
      </c>
      <c r="B53" s="7" t="s">
        <v>298</v>
      </c>
      <c r="C53" s="7" t="s">
        <v>272</v>
      </c>
      <c r="D53" s="7" t="s">
        <v>182</v>
      </c>
      <c r="E53" s="11" t="s">
        <v>295</v>
      </c>
      <c r="F53" s="11" t="s">
        <v>199</v>
      </c>
      <c r="G53" s="25" t="s">
        <v>135</v>
      </c>
      <c r="H53" s="11" t="s">
        <v>299</v>
      </c>
      <c r="I53" s="11" t="s">
        <v>191</v>
      </c>
      <c r="J53" s="7" t="s">
        <v>124</v>
      </c>
      <c r="K53" s="26" t="s">
        <v>143</v>
      </c>
      <c r="L53" s="7" t="s">
        <v>137</v>
      </c>
      <c r="M53" s="7" t="s">
        <v>124</v>
      </c>
      <c r="N53" s="7" t="s">
        <v>138</v>
      </c>
      <c r="O53" s="7" t="s">
        <v>24</v>
      </c>
      <c r="P53" s="8">
        <v>0.05</v>
      </c>
      <c r="Q53" s="23">
        <v>46338</v>
      </c>
      <c r="R53" s="23">
        <v>46338</v>
      </c>
      <c r="S53" s="23">
        <v>46339</v>
      </c>
      <c r="T53" s="7" t="s">
        <v>40</v>
      </c>
    </row>
    <row r="54" spans="1:20" x14ac:dyDescent="0.25">
      <c r="A54" s="7">
        <v>50</v>
      </c>
      <c r="B54" s="7" t="s">
        <v>300</v>
      </c>
      <c r="C54" s="7" t="s">
        <v>272</v>
      </c>
      <c r="D54" s="7" t="s">
        <v>182</v>
      </c>
      <c r="E54" s="11" t="s">
        <v>301</v>
      </c>
      <c r="F54" s="11" t="s">
        <v>206</v>
      </c>
      <c r="G54" s="21" t="s">
        <v>122</v>
      </c>
      <c r="H54" s="11" t="s">
        <v>302</v>
      </c>
      <c r="I54" s="11" t="s">
        <v>303</v>
      </c>
      <c r="J54" s="7" t="s">
        <v>124</v>
      </c>
      <c r="K54" s="26" t="s">
        <v>143</v>
      </c>
      <c r="L54" s="7" t="s">
        <v>126</v>
      </c>
      <c r="M54" s="7" t="s">
        <v>127</v>
      </c>
      <c r="N54" s="7" t="s">
        <v>128</v>
      </c>
      <c r="O54" s="7" t="s">
        <v>24</v>
      </c>
      <c r="P54" s="8">
        <v>0.1</v>
      </c>
      <c r="Q54" s="23">
        <v>46338</v>
      </c>
      <c r="R54" s="23">
        <v>46338</v>
      </c>
      <c r="S54" s="23">
        <v>46339</v>
      </c>
      <c r="T54" s="7" t="s">
        <v>40</v>
      </c>
    </row>
    <row r="55" spans="1:20" x14ac:dyDescent="0.25">
      <c r="A55" s="7">
        <v>51</v>
      </c>
      <c r="B55" s="7" t="s">
        <v>304</v>
      </c>
      <c r="C55" s="7" t="s">
        <v>272</v>
      </c>
      <c r="D55" s="7" t="s">
        <v>182</v>
      </c>
      <c r="E55" s="11" t="s">
        <v>301</v>
      </c>
      <c r="F55" s="11" t="s">
        <v>199</v>
      </c>
      <c r="G55" s="25" t="s">
        <v>135</v>
      </c>
      <c r="H55" s="11" t="s">
        <v>305</v>
      </c>
      <c r="I55" s="11" t="s">
        <v>191</v>
      </c>
      <c r="J55" s="7" t="s">
        <v>124</v>
      </c>
      <c r="K55" s="26" t="s">
        <v>143</v>
      </c>
      <c r="L55" s="7" t="s">
        <v>137</v>
      </c>
      <c r="M55" s="7" t="s">
        <v>124</v>
      </c>
      <c r="N55" s="7" t="s">
        <v>138</v>
      </c>
      <c r="O55" s="7" t="s">
        <v>24</v>
      </c>
      <c r="P55" s="8">
        <v>0.05</v>
      </c>
      <c r="Q55" s="23">
        <v>46338</v>
      </c>
      <c r="R55" s="23">
        <v>46338</v>
      </c>
      <c r="S55" s="23">
        <v>46339</v>
      </c>
      <c r="T55" s="7" t="s">
        <v>40</v>
      </c>
    </row>
    <row r="56" spans="1:20" x14ac:dyDescent="0.25">
      <c r="A56" s="7">
        <v>52</v>
      </c>
      <c r="B56" s="7" t="s">
        <v>306</v>
      </c>
      <c r="C56" s="7" t="s">
        <v>307</v>
      </c>
      <c r="D56" s="7" t="s">
        <v>182</v>
      </c>
      <c r="E56" s="11" t="s">
        <v>308</v>
      </c>
      <c r="F56" s="11" t="s">
        <v>309</v>
      </c>
      <c r="G56" s="21" t="s">
        <v>122</v>
      </c>
      <c r="H56" s="11" t="s">
        <v>310</v>
      </c>
      <c r="I56" s="11" t="s">
        <v>311</v>
      </c>
      <c r="J56" s="7" t="s">
        <v>124</v>
      </c>
      <c r="K56" s="22" t="s">
        <v>125</v>
      </c>
      <c r="L56" s="7" t="s">
        <v>126</v>
      </c>
      <c r="M56" s="7" t="s">
        <v>127</v>
      </c>
      <c r="N56" s="7" t="s">
        <v>128</v>
      </c>
      <c r="O56" s="7" t="s">
        <v>24</v>
      </c>
      <c r="P56" s="8">
        <v>0.25</v>
      </c>
      <c r="Q56" s="23">
        <v>46338</v>
      </c>
      <c r="R56" s="23">
        <v>46338</v>
      </c>
      <c r="S56" s="23">
        <v>46339</v>
      </c>
      <c r="T56" s="7" t="s">
        <v>40</v>
      </c>
    </row>
    <row r="57" spans="1:20" x14ac:dyDescent="0.25">
      <c r="A57" s="7">
        <v>53</v>
      </c>
      <c r="B57" s="7" t="s">
        <v>312</v>
      </c>
      <c r="C57" s="7" t="s">
        <v>307</v>
      </c>
      <c r="D57" s="7" t="s">
        <v>182</v>
      </c>
      <c r="E57" s="11" t="s">
        <v>308</v>
      </c>
      <c r="F57" s="11" t="s">
        <v>199</v>
      </c>
      <c r="G57" s="25" t="s">
        <v>135</v>
      </c>
      <c r="H57" s="11" t="s">
        <v>313</v>
      </c>
      <c r="I57" s="11" t="s">
        <v>191</v>
      </c>
      <c r="J57" s="7" t="s">
        <v>124</v>
      </c>
      <c r="K57" s="26" t="s">
        <v>143</v>
      </c>
      <c r="L57" s="7" t="s">
        <v>137</v>
      </c>
      <c r="M57" s="7" t="s">
        <v>124</v>
      </c>
      <c r="N57" s="7" t="s">
        <v>138</v>
      </c>
      <c r="O57" s="7" t="s">
        <v>24</v>
      </c>
      <c r="P57" s="8">
        <v>0.05</v>
      </c>
      <c r="Q57" s="23">
        <v>46338</v>
      </c>
      <c r="R57" s="23">
        <v>46338</v>
      </c>
      <c r="S57" s="23">
        <v>46339</v>
      </c>
      <c r="T57" s="7" t="s">
        <v>40</v>
      </c>
    </row>
    <row r="58" spans="1:20" x14ac:dyDescent="0.25">
      <c r="A58" s="7">
        <v>54</v>
      </c>
      <c r="B58" s="7" t="s">
        <v>314</v>
      </c>
      <c r="C58" s="7" t="s">
        <v>307</v>
      </c>
      <c r="D58" s="7" t="s">
        <v>182</v>
      </c>
      <c r="E58" s="11" t="s">
        <v>315</v>
      </c>
      <c r="F58" s="11" t="s">
        <v>309</v>
      </c>
      <c r="G58" s="21" t="s">
        <v>122</v>
      </c>
      <c r="H58" s="11" t="s">
        <v>316</v>
      </c>
      <c r="I58" s="11" t="s">
        <v>317</v>
      </c>
      <c r="J58" s="7" t="s">
        <v>124</v>
      </c>
      <c r="K58" s="22" t="s">
        <v>125</v>
      </c>
      <c r="L58" s="7" t="s">
        <v>126</v>
      </c>
      <c r="M58" s="7" t="s">
        <v>127</v>
      </c>
      <c r="N58" s="7" t="s">
        <v>128</v>
      </c>
      <c r="O58" s="7" t="s">
        <v>24</v>
      </c>
      <c r="P58" s="8">
        <v>0.25</v>
      </c>
      <c r="Q58" s="23">
        <v>46339</v>
      </c>
      <c r="R58" s="23">
        <v>46339</v>
      </c>
      <c r="S58" s="23">
        <v>46339</v>
      </c>
      <c r="T58" s="7" t="s">
        <v>40</v>
      </c>
    </row>
    <row r="59" spans="1:20" x14ac:dyDescent="0.25">
      <c r="A59" s="7">
        <v>55</v>
      </c>
      <c r="B59" s="7" t="s">
        <v>318</v>
      </c>
      <c r="C59" s="7" t="s">
        <v>307</v>
      </c>
      <c r="D59" s="7" t="s">
        <v>182</v>
      </c>
      <c r="E59" s="11" t="s">
        <v>315</v>
      </c>
      <c r="F59" s="11" t="s">
        <v>199</v>
      </c>
      <c r="G59" s="25" t="s">
        <v>135</v>
      </c>
      <c r="H59" s="11" t="s">
        <v>319</v>
      </c>
      <c r="I59" s="11" t="s">
        <v>191</v>
      </c>
      <c r="J59" s="7" t="s">
        <v>124</v>
      </c>
      <c r="K59" s="26" t="s">
        <v>143</v>
      </c>
      <c r="L59" s="7" t="s">
        <v>137</v>
      </c>
      <c r="M59" s="7" t="s">
        <v>124</v>
      </c>
      <c r="N59" s="7" t="s">
        <v>138</v>
      </c>
      <c r="O59" s="7" t="s">
        <v>24</v>
      </c>
      <c r="P59" s="8">
        <v>0.05</v>
      </c>
      <c r="Q59" s="23">
        <v>46339</v>
      </c>
      <c r="R59" s="23">
        <v>46339</v>
      </c>
      <c r="S59" s="23">
        <v>46339</v>
      </c>
      <c r="T59" s="7" t="s">
        <v>40</v>
      </c>
    </row>
    <row r="60" spans="1:20" x14ac:dyDescent="0.25">
      <c r="A60" s="7">
        <v>56</v>
      </c>
      <c r="B60" s="7" t="s">
        <v>320</v>
      </c>
      <c r="C60" s="7" t="s">
        <v>321</v>
      </c>
      <c r="D60" s="7" t="s">
        <v>322</v>
      </c>
      <c r="E60" s="11" t="s">
        <v>323</v>
      </c>
      <c r="F60" s="11" t="s">
        <v>324</v>
      </c>
      <c r="G60" s="21" t="s">
        <v>122</v>
      </c>
      <c r="H60" s="11" t="s">
        <v>325</v>
      </c>
      <c r="I60" s="11" t="s">
        <v>326</v>
      </c>
      <c r="J60" s="7" t="s">
        <v>327</v>
      </c>
      <c r="K60" s="22" t="s">
        <v>125</v>
      </c>
      <c r="L60" s="7" t="s">
        <v>126</v>
      </c>
      <c r="M60" s="7" t="s">
        <v>127</v>
      </c>
      <c r="N60" s="7" t="s">
        <v>128</v>
      </c>
      <c r="O60" s="7" t="s">
        <v>24</v>
      </c>
      <c r="P60" s="8">
        <v>0.25</v>
      </c>
      <c r="Q60" s="23">
        <v>46342</v>
      </c>
      <c r="R60" s="23">
        <v>46342</v>
      </c>
      <c r="S60" s="23">
        <v>46346</v>
      </c>
      <c r="T60" s="7" t="s">
        <v>40</v>
      </c>
    </row>
    <row r="61" spans="1:20" x14ac:dyDescent="0.25">
      <c r="A61" s="7">
        <v>57</v>
      </c>
      <c r="B61" s="7" t="s">
        <v>328</v>
      </c>
      <c r="C61" s="7" t="s">
        <v>321</v>
      </c>
      <c r="D61" s="7" t="s">
        <v>322</v>
      </c>
      <c r="E61" s="11" t="s">
        <v>329</v>
      </c>
      <c r="F61" s="11" t="s">
        <v>330</v>
      </c>
      <c r="G61" s="21" t="s">
        <v>122</v>
      </c>
      <c r="H61" s="11" t="s">
        <v>331</v>
      </c>
      <c r="I61" s="11" t="s">
        <v>332</v>
      </c>
      <c r="J61" s="7" t="s">
        <v>327</v>
      </c>
      <c r="K61" s="22" t="s">
        <v>125</v>
      </c>
      <c r="L61" s="7" t="s">
        <v>126</v>
      </c>
      <c r="M61" s="7" t="s">
        <v>127</v>
      </c>
      <c r="N61" s="7" t="s">
        <v>128</v>
      </c>
      <c r="O61" s="7" t="s">
        <v>24</v>
      </c>
      <c r="P61" s="8">
        <v>0.25</v>
      </c>
      <c r="Q61" s="23">
        <v>46342</v>
      </c>
      <c r="R61" s="23">
        <v>46342</v>
      </c>
      <c r="S61" s="23">
        <v>46346</v>
      </c>
      <c r="T61" s="7" t="s">
        <v>40</v>
      </c>
    </row>
    <row r="62" spans="1:20" x14ac:dyDescent="0.25">
      <c r="A62" s="7">
        <v>58</v>
      </c>
      <c r="B62" s="7" t="s">
        <v>333</v>
      </c>
      <c r="C62" s="7" t="s">
        <v>321</v>
      </c>
      <c r="D62" s="7" t="s">
        <v>322</v>
      </c>
      <c r="E62" s="11" t="s">
        <v>329</v>
      </c>
      <c r="F62" s="11" t="s">
        <v>334</v>
      </c>
      <c r="G62" s="21" t="s">
        <v>122</v>
      </c>
      <c r="H62" s="11" t="s">
        <v>335</v>
      </c>
      <c r="I62" s="11" t="s">
        <v>332</v>
      </c>
      <c r="J62" s="7" t="s">
        <v>327</v>
      </c>
      <c r="K62" s="22" t="s">
        <v>125</v>
      </c>
      <c r="L62" s="7" t="s">
        <v>126</v>
      </c>
      <c r="M62" s="7" t="s">
        <v>127</v>
      </c>
      <c r="N62" s="7" t="s">
        <v>128</v>
      </c>
      <c r="O62" s="7" t="s">
        <v>24</v>
      </c>
      <c r="P62" s="8">
        <v>0.25</v>
      </c>
      <c r="Q62" s="23">
        <v>46342</v>
      </c>
      <c r="R62" s="23">
        <v>46342</v>
      </c>
      <c r="S62" s="23">
        <v>46346</v>
      </c>
      <c r="T62" s="7" t="s">
        <v>40</v>
      </c>
    </row>
    <row r="63" spans="1:20" x14ac:dyDescent="0.25">
      <c r="A63" s="7">
        <v>59</v>
      </c>
      <c r="B63" s="7" t="s">
        <v>336</v>
      </c>
      <c r="C63" s="7" t="s">
        <v>321</v>
      </c>
      <c r="D63" s="7" t="s">
        <v>322</v>
      </c>
      <c r="E63" s="11" t="s">
        <v>329</v>
      </c>
      <c r="F63" s="11" t="s">
        <v>337</v>
      </c>
      <c r="G63" s="21" t="s">
        <v>122</v>
      </c>
      <c r="H63" s="11" t="s">
        <v>338</v>
      </c>
      <c r="I63" s="11" t="s">
        <v>332</v>
      </c>
      <c r="J63" s="7" t="s">
        <v>327</v>
      </c>
      <c r="K63" s="22" t="s">
        <v>125</v>
      </c>
      <c r="L63" s="7" t="s">
        <v>126</v>
      </c>
      <c r="M63" s="7" t="s">
        <v>127</v>
      </c>
      <c r="N63" s="7" t="s">
        <v>128</v>
      </c>
      <c r="O63" s="7" t="s">
        <v>24</v>
      </c>
      <c r="P63" s="8">
        <v>0.25</v>
      </c>
      <c r="Q63" s="23">
        <v>46342</v>
      </c>
      <c r="R63" s="23">
        <v>46343</v>
      </c>
      <c r="S63" s="23">
        <v>46346</v>
      </c>
      <c r="T63" s="7" t="s">
        <v>40</v>
      </c>
    </row>
    <row r="64" spans="1:20" x14ac:dyDescent="0.25">
      <c r="A64" s="7">
        <v>60</v>
      </c>
      <c r="B64" s="7" t="s">
        <v>339</v>
      </c>
      <c r="C64" s="7" t="s">
        <v>321</v>
      </c>
      <c r="D64" s="7" t="s">
        <v>322</v>
      </c>
      <c r="E64" s="11" t="s">
        <v>329</v>
      </c>
      <c r="F64" s="11" t="s">
        <v>340</v>
      </c>
      <c r="G64" s="21" t="s">
        <v>122</v>
      </c>
      <c r="H64" s="11" t="s">
        <v>341</v>
      </c>
      <c r="I64" s="11" t="s">
        <v>332</v>
      </c>
      <c r="J64" s="7" t="s">
        <v>327</v>
      </c>
      <c r="K64" s="26" t="s">
        <v>143</v>
      </c>
      <c r="L64" s="7" t="s">
        <v>126</v>
      </c>
      <c r="M64" s="7" t="s">
        <v>127</v>
      </c>
      <c r="N64" s="7" t="s">
        <v>128</v>
      </c>
      <c r="O64" s="7" t="s">
        <v>24</v>
      </c>
      <c r="P64" s="8">
        <v>0.1</v>
      </c>
      <c r="Q64" s="23">
        <v>46343</v>
      </c>
      <c r="R64" s="23">
        <v>46343</v>
      </c>
      <c r="S64" s="23">
        <v>46346</v>
      </c>
      <c r="T64" s="7" t="s">
        <v>40</v>
      </c>
    </row>
    <row r="65" spans="1:20" x14ac:dyDescent="0.25">
      <c r="A65" s="7">
        <v>61</v>
      </c>
      <c r="B65" s="7" t="s">
        <v>342</v>
      </c>
      <c r="C65" s="7" t="s">
        <v>321</v>
      </c>
      <c r="D65" s="7" t="s">
        <v>322</v>
      </c>
      <c r="E65" s="11" t="s">
        <v>329</v>
      </c>
      <c r="F65" s="11" t="s">
        <v>343</v>
      </c>
      <c r="G65" s="21" t="s">
        <v>122</v>
      </c>
      <c r="H65" s="11" t="s">
        <v>344</v>
      </c>
      <c r="I65" s="11" t="s">
        <v>332</v>
      </c>
      <c r="J65" s="7" t="s">
        <v>327</v>
      </c>
      <c r="K65" s="26" t="s">
        <v>143</v>
      </c>
      <c r="L65" s="7" t="s">
        <v>126</v>
      </c>
      <c r="M65" s="7" t="s">
        <v>127</v>
      </c>
      <c r="N65" s="7" t="s">
        <v>128</v>
      </c>
      <c r="O65" s="7" t="s">
        <v>24</v>
      </c>
      <c r="P65" s="8">
        <v>0.1</v>
      </c>
      <c r="Q65" s="23">
        <v>46343</v>
      </c>
      <c r="R65" s="23">
        <v>46343</v>
      </c>
      <c r="S65" s="23">
        <v>46346</v>
      </c>
      <c r="T65" s="7" t="s">
        <v>40</v>
      </c>
    </row>
    <row r="66" spans="1:20" x14ac:dyDescent="0.25">
      <c r="A66" s="7">
        <v>62</v>
      </c>
      <c r="B66" s="7" t="s">
        <v>345</v>
      </c>
      <c r="C66" s="7" t="s">
        <v>321</v>
      </c>
      <c r="D66" s="7" t="s">
        <v>322</v>
      </c>
      <c r="E66" s="11" t="s">
        <v>329</v>
      </c>
      <c r="F66" s="11" t="s">
        <v>346</v>
      </c>
      <c r="G66" s="21" t="s">
        <v>122</v>
      </c>
      <c r="H66" s="11" t="s">
        <v>347</v>
      </c>
      <c r="I66" s="11" t="s">
        <v>332</v>
      </c>
      <c r="J66" s="7" t="s">
        <v>327</v>
      </c>
      <c r="K66" s="26" t="s">
        <v>143</v>
      </c>
      <c r="L66" s="7" t="s">
        <v>126</v>
      </c>
      <c r="M66" s="7" t="s">
        <v>127</v>
      </c>
      <c r="N66" s="7" t="s">
        <v>128</v>
      </c>
      <c r="O66" s="7" t="s">
        <v>24</v>
      </c>
      <c r="P66" s="8">
        <v>0.1</v>
      </c>
      <c r="Q66" s="23">
        <v>46343</v>
      </c>
      <c r="R66" s="23">
        <v>46343</v>
      </c>
      <c r="S66" s="23">
        <v>46346</v>
      </c>
      <c r="T66" s="7" t="s">
        <v>40</v>
      </c>
    </row>
    <row r="67" spans="1:20" x14ac:dyDescent="0.25">
      <c r="A67" s="7">
        <v>63</v>
      </c>
      <c r="B67" s="7" t="s">
        <v>348</v>
      </c>
      <c r="C67" s="7" t="s">
        <v>321</v>
      </c>
      <c r="D67" s="7" t="s">
        <v>322</v>
      </c>
      <c r="E67" s="11" t="s">
        <v>329</v>
      </c>
      <c r="F67" s="11" t="s">
        <v>349</v>
      </c>
      <c r="G67" s="21" t="s">
        <v>122</v>
      </c>
      <c r="H67" s="11" t="s">
        <v>350</v>
      </c>
      <c r="I67" s="11" t="s">
        <v>332</v>
      </c>
      <c r="J67" s="7" t="s">
        <v>327</v>
      </c>
      <c r="K67" s="26" t="s">
        <v>143</v>
      </c>
      <c r="L67" s="7" t="s">
        <v>126</v>
      </c>
      <c r="M67" s="7" t="s">
        <v>127</v>
      </c>
      <c r="N67" s="7" t="s">
        <v>128</v>
      </c>
      <c r="O67" s="7" t="s">
        <v>24</v>
      </c>
      <c r="P67" s="8">
        <v>0.1</v>
      </c>
      <c r="Q67" s="23">
        <v>46343</v>
      </c>
      <c r="R67" s="23">
        <v>46343</v>
      </c>
      <c r="S67" s="23">
        <v>46346</v>
      </c>
      <c r="T67" s="7" t="s">
        <v>40</v>
      </c>
    </row>
    <row r="68" spans="1:20" x14ac:dyDescent="0.25">
      <c r="A68" s="7">
        <v>64</v>
      </c>
      <c r="B68" s="7" t="s">
        <v>351</v>
      </c>
      <c r="C68" s="7" t="s">
        <v>321</v>
      </c>
      <c r="D68" s="7" t="s">
        <v>322</v>
      </c>
      <c r="E68" s="11" t="s">
        <v>329</v>
      </c>
      <c r="F68" s="11" t="s">
        <v>352</v>
      </c>
      <c r="G68" s="21" t="s">
        <v>122</v>
      </c>
      <c r="H68" s="11" t="s">
        <v>353</v>
      </c>
      <c r="I68" s="11" t="s">
        <v>332</v>
      </c>
      <c r="J68" s="7" t="s">
        <v>327</v>
      </c>
      <c r="K68" s="26" t="s">
        <v>143</v>
      </c>
      <c r="L68" s="7" t="s">
        <v>126</v>
      </c>
      <c r="M68" s="7" t="s">
        <v>127</v>
      </c>
      <c r="N68" s="7" t="s">
        <v>128</v>
      </c>
      <c r="O68" s="7" t="s">
        <v>24</v>
      </c>
      <c r="P68" s="8">
        <v>0.1</v>
      </c>
      <c r="Q68" s="23">
        <v>46343</v>
      </c>
      <c r="R68" s="23">
        <v>46343</v>
      </c>
      <c r="S68" s="23">
        <v>46346</v>
      </c>
      <c r="T68" s="7" t="s">
        <v>40</v>
      </c>
    </row>
    <row r="69" spans="1:20" x14ac:dyDescent="0.25">
      <c r="A69" s="7">
        <v>65</v>
      </c>
      <c r="B69" s="7" t="s">
        <v>354</v>
      </c>
      <c r="C69" s="7" t="s">
        <v>321</v>
      </c>
      <c r="D69" s="7" t="s">
        <v>322</v>
      </c>
      <c r="E69" s="11" t="s">
        <v>329</v>
      </c>
      <c r="F69" s="11" t="s">
        <v>355</v>
      </c>
      <c r="G69" s="21" t="s">
        <v>122</v>
      </c>
      <c r="H69" s="11" t="s">
        <v>356</v>
      </c>
      <c r="I69" s="11" t="s">
        <v>332</v>
      </c>
      <c r="J69" s="7" t="s">
        <v>327</v>
      </c>
      <c r="K69" s="26" t="s">
        <v>143</v>
      </c>
      <c r="L69" s="7" t="s">
        <v>126</v>
      </c>
      <c r="M69" s="7" t="s">
        <v>127</v>
      </c>
      <c r="N69" s="7" t="s">
        <v>128</v>
      </c>
      <c r="O69" s="7" t="s">
        <v>24</v>
      </c>
      <c r="P69" s="8">
        <v>0.1</v>
      </c>
      <c r="Q69" s="23">
        <v>46343</v>
      </c>
      <c r="R69" s="23">
        <v>46343</v>
      </c>
      <c r="S69" s="23">
        <v>46346</v>
      </c>
      <c r="T69" s="7" t="s">
        <v>40</v>
      </c>
    </row>
    <row r="70" spans="1:20" x14ac:dyDescent="0.25">
      <c r="A70" s="7">
        <v>66</v>
      </c>
      <c r="B70" s="7" t="s">
        <v>357</v>
      </c>
      <c r="C70" s="7" t="s">
        <v>321</v>
      </c>
      <c r="D70" s="7" t="s">
        <v>322</v>
      </c>
      <c r="E70" s="11" t="s">
        <v>329</v>
      </c>
      <c r="F70" s="11" t="s">
        <v>358</v>
      </c>
      <c r="G70" s="21" t="s">
        <v>122</v>
      </c>
      <c r="H70" s="11" t="s">
        <v>359</v>
      </c>
      <c r="I70" s="11" t="s">
        <v>332</v>
      </c>
      <c r="J70" s="7" t="s">
        <v>327</v>
      </c>
      <c r="K70" s="26" t="s">
        <v>143</v>
      </c>
      <c r="L70" s="7" t="s">
        <v>126</v>
      </c>
      <c r="M70" s="7" t="s">
        <v>127</v>
      </c>
      <c r="N70" s="7" t="s">
        <v>128</v>
      </c>
      <c r="O70" s="7" t="s">
        <v>24</v>
      </c>
      <c r="P70" s="8">
        <v>0.1</v>
      </c>
      <c r="Q70" s="23">
        <v>46343</v>
      </c>
      <c r="R70" s="23">
        <v>46343</v>
      </c>
      <c r="S70" s="23">
        <v>46346</v>
      </c>
      <c r="T70" s="7" t="s">
        <v>40</v>
      </c>
    </row>
    <row r="71" spans="1:20" x14ac:dyDescent="0.25">
      <c r="A71" s="7">
        <v>67</v>
      </c>
      <c r="B71" s="7" t="s">
        <v>360</v>
      </c>
      <c r="C71" s="7" t="s">
        <v>321</v>
      </c>
      <c r="D71" s="7" t="s">
        <v>322</v>
      </c>
      <c r="E71" s="11" t="s">
        <v>329</v>
      </c>
      <c r="F71" s="11" t="s">
        <v>361</v>
      </c>
      <c r="G71" s="21" t="s">
        <v>122</v>
      </c>
      <c r="H71" s="11" t="s">
        <v>362</v>
      </c>
      <c r="I71" s="11" t="s">
        <v>332</v>
      </c>
      <c r="J71" s="7" t="s">
        <v>327</v>
      </c>
      <c r="K71" s="22" t="s">
        <v>125</v>
      </c>
      <c r="L71" s="7" t="s">
        <v>126</v>
      </c>
      <c r="M71" s="7" t="s">
        <v>127</v>
      </c>
      <c r="N71" s="7" t="s">
        <v>128</v>
      </c>
      <c r="O71" s="7" t="s">
        <v>24</v>
      </c>
      <c r="P71" s="8">
        <v>0.25</v>
      </c>
      <c r="Q71" s="23">
        <v>46343</v>
      </c>
      <c r="R71" s="23">
        <v>46343</v>
      </c>
      <c r="S71" s="23">
        <v>46346</v>
      </c>
      <c r="T71" s="7" t="s">
        <v>40</v>
      </c>
    </row>
    <row r="72" spans="1:20" x14ac:dyDescent="0.25">
      <c r="A72" s="7">
        <v>68</v>
      </c>
      <c r="B72" s="7" t="s">
        <v>363</v>
      </c>
      <c r="C72" s="7" t="s">
        <v>321</v>
      </c>
      <c r="D72" s="7" t="s">
        <v>322</v>
      </c>
      <c r="E72" s="11" t="s">
        <v>329</v>
      </c>
      <c r="F72" s="11" t="s">
        <v>364</v>
      </c>
      <c r="G72" s="25" t="s">
        <v>135</v>
      </c>
      <c r="H72" s="11" t="s">
        <v>365</v>
      </c>
      <c r="I72" s="11" t="s">
        <v>366</v>
      </c>
      <c r="J72" s="7" t="s">
        <v>124</v>
      </c>
      <c r="K72" s="22" t="s">
        <v>125</v>
      </c>
      <c r="L72" s="7" t="s">
        <v>137</v>
      </c>
      <c r="M72" s="7" t="s">
        <v>124</v>
      </c>
      <c r="N72" s="7" t="s">
        <v>138</v>
      </c>
      <c r="O72" s="7" t="s">
        <v>24</v>
      </c>
      <c r="P72" s="8">
        <v>0.25</v>
      </c>
      <c r="Q72" s="23">
        <v>46344</v>
      </c>
      <c r="R72" s="23">
        <v>46344</v>
      </c>
      <c r="S72" s="23">
        <v>46346</v>
      </c>
      <c r="T72" s="7" t="s">
        <v>40</v>
      </c>
    </row>
    <row r="73" spans="1:20" x14ac:dyDescent="0.25">
      <c r="A73" s="7">
        <v>69</v>
      </c>
      <c r="B73" s="7" t="s">
        <v>367</v>
      </c>
      <c r="C73" s="7" t="s">
        <v>321</v>
      </c>
      <c r="D73" s="7" t="s">
        <v>322</v>
      </c>
      <c r="E73" s="11" t="s">
        <v>368</v>
      </c>
      <c r="F73" s="11" t="s">
        <v>369</v>
      </c>
      <c r="G73" s="25" t="s">
        <v>135</v>
      </c>
      <c r="H73" s="11" t="s">
        <v>370</v>
      </c>
      <c r="I73" s="11" t="s">
        <v>124</v>
      </c>
      <c r="J73" s="7" t="s">
        <v>124</v>
      </c>
      <c r="K73" s="26" t="s">
        <v>143</v>
      </c>
      <c r="L73" s="7" t="s">
        <v>137</v>
      </c>
      <c r="M73" s="7" t="s">
        <v>124</v>
      </c>
      <c r="N73" s="7" t="s">
        <v>138</v>
      </c>
      <c r="O73" s="7" t="s">
        <v>24</v>
      </c>
      <c r="P73" s="8">
        <v>0.1</v>
      </c>
      <c r="Q73" s="23">
        <v>46344</v>
      </c>
      <c r="R73" s="23">
        <v>46344</v>
      </c>
      <c r="S73" s="23">
        <v>46346</v>
      </c>
      <c r="T73" s="7" t="s">
        <v>40</v>
      </c>
    </row>
    <row r="74" spans="1:20" x14ac:dyDescent="0.25">
      <c r="A74" s="7">
        <v>70</v>
      </c>
      <c r="B74" s="7" t="s">
        <v>371</v>
      </c>
      <c r="C74" s="7" t="s">
        <v>372</v>
      </c>
      <c r="D74" s="7" t="s">
        <v>322</v>
      </c>
      <c r="E74" s="11" t="s">
        <v>373</v>
      </c>
      <c r="F74" s="11" t="s">
        <v>374</v>
      </c>
      <c r="G74" s="21" t="s">
        <v>122</v>
      </c>
      <c r="H74" s="11" t="s">
        <v>375</v>
      </c>
      <c r="I74" s="11" t="s">
        <v>376</v>
      </c>
      <c r="J74" s="7" t="s">
        <v>124</v>
      </c>
      <c r="K74" s="26" t="s">
        <v>143</v>
      </c>
      <c r="L74" s="7" t="s">
        <v>126</v>
      </c>
      <c r="M74" s="7" t="s">
        <v>127</v>
      </c>
      <c r="N74" s="7" t="s">
        <v>128</v>
      </c>
      <c r="O74" s="7" t="s">
        <v>24</v>
      </c>
      <c r="P74" s="8">
        <v>0.1</v>
      </c>
      <c r="Q74" s="23">
        <v>46344</v>
      </c>
      <c r="R74" s="23">
        <v>46344</v>
      </c>
      <c r="S74" s="23">
        <v>46346</v>
      </c>
      <c r="T74" s="7" t="s">
        <v>40</v>
      </c>
    </row>
    <row r="75" spans="1:20" x14ac:dyDescent="0.25">
      <c r="A75" s="7">
        <v>71</v>
      </c>
      <c r="B75" s="7" t="s">
        <v>377</v>
      </c>
      <c r="C75" s="7" t="s">
        <v>372</v>
      </c>
      <c r="D75" s="7" t="s">
        <v>322</v>
      </c>
      <c r="E75" s="11" t="s">
        <v>373</v>
      </c>
      <c r="F75" s="11" t="s">
        <v>378</v>
      </c>
      <c r="G75" s="25" t="s">
        <v>135</v>
      </c>
      <c r="H75" s="11" t="s">
        <v>375</v>
      </c>
      <c r="I75" s="11" t="s">
        <v>379</v>
      </c>
      <c r="J75" s="7" t="s">
        <v>124</v>
      </c>
      <c r="K75" s="24" t="s">
        <v>132</v>
      </c>
      <c r="L75" s="7" t="s">
        <v>137</v>
      </c>
      <c r="M75" s="7" t="s">
        <v>124</v>
      </c>
      <c r="N75" s="7" t="s">
        <v>138</v>
      </c>
      <c r="O75" s="7" t="s">
        <v>24</v>
      </c>
      <c r="P75" s="8">
        <v>0.25</v>
      </c>
      <c r="Q75" s="23">
        <v>46344</v>
      </c>
      <c r="R75" s="23">
        <v>46344</v>
      </c>
      <c r="S75" s="23">
        <v>46346</v>
      </c>
      <c r="T75" s="7" t="s">
        <v>40</v>
      </c>
    </row>
    <row r="76" spans="1:20" x14ac:dyDescent="0.25">
      <c r="A76" s="7">
        <v>72</v>
      </c>
      <c r="B76" s="7" t="s">
        <v>380</v>
      </c>
      <c r="C76" s="7" t="s">
        <v>372</v>
      </c>
      <c r="D76" s="7" t="s">
        <v>322</v>
      </c>
      <c r="E76" s="11" t="s">
        <v>381</v>
      </c>
      <c r="F76" s="11" t="s">
        <v>382</v>
      </c>
      <c r="G76" s="25" t="s">
        <v>135</v>
      </c>
      <c r="H76" s="11" t="s">
        <v>383</v>
      </c>
      <c r="I76" s="11" t="s">
        <v>384</v>
      </c>
      <c r="J76" s="7" t="s">
        <v>124</v>
      </c>
      <c r="K76" s="24" t="s">
        <v>132</v>
      </c>
      <c r="L76" s="7" t="s">
        <v>137</v>
      </c>
      <c r="M76" s="7" t="s">
        <v>124</v>
      </c>
      <c r="N76" s="7" t="s">
        <v>138</v>
      </c>
      <c r="O76" s="7" t="s">
        <v>24</v>
      </c>
      <c r="P76" s="8">
        <v>0.25</v>
      </c>
      <c r="Q76" s="23">
        <v>46344</v>
      </c>
      <c r="R76" s="23">
        <v>46344</v>
      </c>
      <c r="S76" s="23">
        <v>46346</v>
      </c>
      <c r="T76" s="7" t="s">
        <v>40</v>
      </c>
    </row>
    <row r="77" spans="1:20" x14ac:dyDescent="0.25">
      <c r="A77" s="7">
        <v>73</v>
      </c>
      <c r="B77" s="7" t="s">
        <v>385</v>
      </c>
      <c r="C77" s="7" t="s">
        <v>386</v>
      </c>
      <c r="D77" s="7" t="s">
        <v>322</v>
      </c>
      <c r="E77" s="11" t="s">
        <v>387</v>
      </c>
      <c r="F77" s="11" t="s">
        <v>388</v>
      </c>
      <c r="G77" s="25" t="s">
        <v>135</v>
      </c>
      <c r="H77" s="11" t="s">
        <v>389</v>
      </c>
      <c r="I77" s="11" t="s">
        <v>390</v>
      </c>
      <c r="J77" s="7" t="s">
        <v>391</v>
      </c>
      <c r="K77" s="24" t="s">
        <v>132</v>
      </c>
      <c r="L77" s="7" t="s">
        <v>137</v>
      </c>
      <c r="M77" s="7" t="s">
        <v>124</v>
      </c>
      <c r="N77" s="7" t="s">
        <v>128</v>
      </c>
      <c r="O77" s="7" t="s">
        <v>24</v>
      </c>
      <c r="P77" s="8">
        <v>0.25</v>
      </c>
      <c r="Q77" s="23">
        <v>46344</v>
      </c>
      <c r="R77" s="23">
        <v>46345</v>
      </c>
      <c r="S77" s="23">
        <v>46346</v>
      </c>
      <c r="T77" s="7" t="s">
        <v>40</v>
      </c>
    </row>
    <row r="78" spans="1:20" x14ac:dyDescent="0.25">
      <c r="A78" s="7">
        <v>74</v>
      </c>
      <c r="B78" s="7" t="s">
        <v>392</v>
      </c>
      <c r="C78" s="7" t="s">
        <v>386</v>
      </c>
      <c r="D78" s="7" t="s">
        <v>322</v>
      </c>
      <c r="E78" s="11" t="s">
        <v>387</v>
      </c>
      <c r="F78" s="11" t="s">
        <v>393</v>
      </c>
      <c r="G78" s="25" t="s">
        <v>135</v>
      </c>
      <c r="H78" s="11" t="s">
        <v>394</v>
      </c>
      <c r="I78" s="11" t="s">
        <v>390</v>
      </c>
      <c r="J78" s="7" t="s">
        <v>391</v>
      </c>
      <c r="K78" s="24" t="s">
        <v>132</v>
      </c>
      <c r="L78" s="7" t="s">
        <v>137</v>
      </c>
      <c r="M78" s="7" t="s">
        <v>124</v>
      </c>
      <c r="N78" s="7" t="s">
        <v>128</v>
      </c>
      <c r="O78" s="7" t="s">
        <v>24</v>
      </c>
      <c r="P78" s="8">
        <v>0.5</v>
      </c>
      <c r="Q78" s="23">
        <v>46345</v>
      </c>
      <c r="R78" s="23">
        <v>46345</v>
      </c>
      <c r="S78" s="23">
        <v>46346</v>
      </c>
      <c r="T78" s="7" t="s">
        <v>40</v>
      </c>
    </row>
    <row r="79" spans="1:20" x14ac:dyDescent="0.25">
      <c r="A79" s="7">
        <v>75</v>
      </c>
      <c r="B79" s="7" t="s">
        <v>395</v>
      </c>
      <c r="C79" s="7" t="s">
        <v>386</v>
      </c>
      <c r="D79" s="7" t="s">
        <v>322</v>
      </c>
      <c r="E79" s="11" t="s">
        <v>387</v>
      </c>
      <c r="F79" s="11" t="s">
        <v>396</v>
      </c>
      <c r="G79" s="21" t="s">
        <v>122</v>
      </c>
      <c r="H79" s="11" t="s">
        <v>389</v>
      </c>
      <c r="I79" s="11" t="s">
        <v>397</v>
      </c>
      <c r="J79" s="7" t="s">
        <v>398</v>
      </c>
      <c r="K79" s="22" t="s">
        <v>125</v>
      </c>
      <c r="L79" s="7" t="s">
        <v>126</v>
      </c>
      <c r="M79" s="7" t="s">
        <v>127</v>
      </c>
      <c r="N79" s="7" t="s">
        <v>128</v>
      </c>
      <c r="O79" s="7" t="s">
        <v>24</v>
      </c>
      <c r="P79" s="8">
        <v>0.25</v>
      </c>
      <c r="Q79" s="23">
        <v>46345</v>
      </c>
      <c r="R79" s="23">
        <v>46346</v>
      </c>
      <c r="S79" s="23">
        <v>46346</v>
      </c>
      <c r="T79" s="7" t="s">
        <v>40</v>
      </c>
    </row>
    <row r="80" spans="1:20" x14ac:dyDescent="0.25">
      <c r="A80" s="7">
        <v>76</v>
      </c>
      <c r="B80" s="7" t="s">
        <v>399</v>
      </c>
      <c r="C80" s="7" t="s">
        <v>386</v>
      </c>
      <c r="D80" s="7" t="s">
        <v>322</v>
      </c>
      <c r="E80" s="11" t="s">
        <v>387</v>
      </c>
      <c r="F80" s="11" t="s">
        <v>400</v>
      </c>
      <c r="G80" s="21" t="s">
        <v>122</v>
      </c>
      <c r="H80" s="11" t="s">
        <v>401</v>
      </c>
      <c r="I80" s="11" t="s">
        <v>397</v>
      </c>
      <c r="J80" s="7" t="s">
        <v>398</v>
      </c>
      <c r="K80" s="24" t="s">
        <v>132</v>
      </c>
      <c r="L80" s="7" t="s">
        <v>126</v>
      </c>
      <c r="M80" s="7" t="s">
        <v>127</v>
      </c>
      <c r="N80" s="7" t="s">
        <v>128</v>
      </c>
      <c r="O80" s="7" t="s">
        <v>24</v>
      </c>
      <c r="P80" s="8">
        <v>0.5</v>
      </c>
      <c r="Q80" s="23">
        <v>46346</v>
      </c>
      <c r="R80" s="23">
        <v>46346</v>
      </c>
      <c r="S80" s="23">
        <v>46346</v>
      </c>
      <c r="T80" s="7" t="s">
        <v>40</v>
      </c>
    </row>
    <row r="81" spans="1:20" x14ac:dyDescent="0.25">
      <c r="A81" s="7">
        <v>77</v>
      </c>
      <c r="B81" s="7" t="s">
        <v>402</v>
      </c>
      <c r="C81" s="7" t="s">
        <v>386</v>
      </c>
      <c r="D81" s="7" t="s">
        <v>322</v>
      </c>
      <c r="E81" s="11" t="s">
        <v>387</v>
      </c>
      <c r="F81" s="11" t="s">
        <v>403</v>
      </c>
      <c r="G81" s="21" t="s">
        <v>122</v>
      </c>
      <c r="H81" s="11" t="s">
        <v>404</v>
      </c>
      <c r="I81" s="11" t="s">
        <v>405</v>
      </c>
      <c r="J81" s="7" t="s">
        <v>124</v>
      </c>
      <c r="K81" s="26" t="s">
        <v>143</v>
      </c>
      <c r="L81" s="7" t="s">
        <v>126</v>
      </c>
      <c r="M81" s="7" t="s">
        <v>127</v>
      </c>
      <c r="N81" s="7" t="s">
        <v>128</v>
      </c>
      <c r="O81" s="7" t="s">
        <v>24</v>
      </c>
      <c r="P81" s="8">
        <v>0.1</v>
      </c>
      <c r="Q81" s="23">
        <v>46326</v>
      </c>
      <c r="R81" s="23">
        <v>46326</v>
      </c>
      <c r="S81" s="23">
        <v>46346</v>
      </c>
      <c r="T81" s="7" t="s">
        <v>40</v>
      </c>
    </row>
    <row r="82" spans="1:20" x14ac:dyDescent="0.25">
      <c r="A82" s="7">
        <v>78</v>
      </c>
      <c r="B82" s="7" t="s">
        <v>406</v>
      </c>
      <c r="C82" s="7" t="s">
        <v>386</v>
      </c>
      <c r="D82" s="7" t="s">
        <v>322</v>
      </c>
      <c r="E82" s="11" t="s">
        <v>387</v>
      </c>
      <c r="F82" s="11" t="s">
        <v>407</v>
      </c>
      <c r="G82" s="21" t="s">
        <v>122</v>
      </c>
      <c r="H82" s="11" t="s">
        <v>408</v>
      </c>
      <c r="I82" s="11" t="s">
        <v>405</v>
      </c>
      <c r="J82" s="7" t="s">
        <v>124</v>
      </c>
      <c r="K82" s="26" t="s">
        <v>143</v>
      </c>
      <c r="L82" s="7" t="s">
        <v>126</v>
      </c>
      <c r="M82" s="7" t="s">
        <v>127</v>
      </c>
      <c r="N82" s="7" t="s">
        <v>128</v>
      </c>
      <c r="O82" s="7" t="s">
        <v>24</v>
      </c>
      <c r="P82" s="8">
        <v>0.1</v>
      </c>
      <c r="Q82" s="23">
        <v>46326</v>
      </c>
      <c r="R82" s="23">
        <v>46326</v>
      </c>
      <c r="S82" s="23">
        <v>46346</v>
      </c>
      <c r="T82" s="7" t="s">
        <v>40</v>
      </c>
    </row>
    <row r="83" spans="1:20" x14ac:dyDescent="0.25">
      <c r="A83" s="7">
        <v>79</v>
      </c>
      <c r="B83" s="7" t="s">
        <v>409</v>
      </c>
      <c r="C83" s="7" t="s">
        <v>410</v>
      </c>
      <c r="D83" s="7" t="s">
        <v>322</v>
      </c>
      <c r="E83" s="11" t="s">
        <v>411</v>
      </c>
      <c r="F83" s="11" t="s">
        <v>412</v>
      </c>
      <c r="G83" s="25" t="s">
        <v>135</v>
      </c>
      <c r="H83" s="11" t="s">
        <v>413</v>
      </c>
      <c r="I83" s="11" t="s">
        <v>414</v>
      </c>
      <c r="J83" s="7" t="s">
        <v>124</v>
      </c>
      <c r="K83" s="26" t="s">
        <v>143</v>
      </c>
      <c r="L83" s="7" t="s">
        <v>137</v>
      </c>
      <c r="M83" s="7" t="s">
        <v>124</v>
      </c>
      <c r="N83" s="7" t="s">
        <v>138</v>
      </c>
      <c r="O83" s="7" t="s">
        <v>24</v>
      </c>
      <c r="P83" s="8">
        <v>0.1</v>
      </c>
      <c r="Q83" s="23">
        <v>46326</v>
      </c>
      <c r="R83" s="23">
        <v>46326</v>
      </c>
      <c r="S83" s="23">
        <v>46346</v>
      </c>
      <c r="T83" s="7" t="s">
        <v>40</v>
      </c>
    </row>
    <row r="84" spans="1:20" x14ac:dyDescent="0.25">
      <c r="A84" s="7">
        <v>80</v>
      </c>
      <c r="B84" s="7" t="s">
        <v>415</v>
      </c>
      <c r="C84" s="7" t="s">
        <v>410</v>
      </c>
      <c r="D84" s="7" t="s">
        <v>322</v>
      </c>
      <c r="E84" s="11" t="s">
        <v>411</v>
      </c>
      <c r="F84" s="11" t="s">
        <v>416</v>
      </c>
      <c r="G84" s="25" t="s">
        <v>135</v>
      </c>
      <c r="H84" s="11" t="s">
        <v>417</v>
      </c>
      <c r="I84" s="11" t="s">
        <v>414</v>
      </c>
      <c r="J84" s="7" t="s">
        <v>124</v>
      </c>
      <c r="K84" s="26" t="s">
        <v>143</v>
      </c>
      <c r="L84" s="7" t="s">
        <v>137</v>
      </c>
      <c r="M84" s="7" t="s">
        <v>124</v>
      </c>
      <c r="N84" s="7" t="s">
        <v>138</v>
      </c>
      <c r="O84" s="7" t="s">
        <v>24</v>
      </c>
      <c r="P84" s="8">
        <v>0.1</v>
      </c>
      <c r="Q84" s="23">
        <v>46326</v>
      </c>
      <c r="R84" s="23">
        <v>46326</v>
      </c>
      <c r="S84" s="23">
        <v>46346</v>
      </c>
      <c r="T84" s="7" t="s">
        <v>40</v>
      </c>
    </row>
    <row r="85" spans="1:20" x14ac:dyDescent="0.25">
      <c r="A85" s="7">
        <v>81</v>
      </c>
      <c r="B85" s="7" t="s">
        <v>418</v>
      </c>
      <c r="C85" s="7" t="s">
        <v>419</v>
      </c>
      <c r="D85" s="7" t="s">
        <v>322</v>
      </c>
      <c r="E85" s="11" t="s">
        <v>420</v>
      </c>
      <c r="F85" s="11" t="s">
        <v>421</v>
      </c>
      <c r="G85" s="21" t="s">
        <v>122</v>
      </c>
      <c r="H85" s="11" t="s">
        <v>422</v>
      </c>
      <c r="I85" s="11" t="s">
        <v>423</v>
      </c>
      <c r="J85" s="7" t="s">
        <v>424</v>
      </c>
      <c r="K85" s="24" t="s">
        <v>132</v>
      </c>
      <c r="L85" s="7" t="s">
        <v>126</v>
      </c>
      <c r="M85" s="7" t="s">
        <v>127</v>
      </c>
      <c r="N85" s="7" t="s">
        <v>128</v>
      </c>
      <c r="O85" s="7" t="s">
        <v>24</v>
      </c>
      <c r="P85" s="8">
        <v>0.5</v>
      </c>
      <c r="Q85" s="23">
        <v>46340</v>
      </c>
      <c r="R85" s="23">
        <v>46340</v>
      </c>
      <c r="S85" s="23">
        <v>46346</v>
      </c>
      <c r="T85" s="7" t="s">
        <v>40</v>
      </c>
    </row>
    <row r="86" spans="1:20" x14ac:dyDescent="0.25">
      <c r="A86" s="7">
        <v>82</v>
      </c>
      <c r="B86" s="7" t="s">
        <v>425</v>
      </c>
      <c r="C86" s="7" t="s">
        <v>419</v>
      </c>
      <c r="D86" s="7" t="s">
        <v>322</v>
      </c>
      <c r="E86" s="11" t="s">
        <v>420</v>
      </c>
      <c r="F86" s="11" t="s">
        <v>426</v>
      </c>
      <c r="G86" s="21" t="s">
        <v>122</v>
      </c>
      <c r="H86" s="11" t="s">
        <v>427</v>
      </c>
      <c r="I86" s="11" t="s">
        <v>423</v>
      </c>
      <c r="J86" s="7" t="s">
        <v>424</v>
      </c>
      <c r="K86" s="24" t="s">
        <v>132</v>
      </c>
      <c r="L86" s="7" t="s">
        <v>126</v>
      </c>
      <c r="M86" s="7" t="s">
        <v>127</v>
      </c>
      <c r="N86" s="7" t="s">
        <v>128</v>
      </c>
      <c r="O86" s="7" t="s">
        <v>24</v>
      </c>
      <c r="P86" s="8">
        <v>0.25</v>
      </c>
      <c r="Q86" s="23">
        <v>46340</v>
      </c>
      <c r="R86" s="23">
        <v>46340</v>
      </c>
      <c r="S86" s="23">
        <v>46346</v>
      </c>
      <c r="T86" s="7" t="s">
        <v>40</v>
      </c>
    </row>
    <row r="87" spans="1:20" x14ac:dyDescent="0.25">
      <c r="A87" s="7">
        <v>83</v>
      </c>
      <c r="B87" s="7" t="s">
        <v>428</v>
      </c>
      <c r="C87" s="7" t="s">
        <v>419</v>
      </c>
      <c r="D87" s="7" t="s">
        <v>322</v>
      </c>
      <c r="E87" s="11" t="s">
        <v>420</v>
      </c>
      <c r="F87" s="11" t="s">
        <v>429</v>
      </c>
      <c r="G87" s="21" t="s">
        <v>122</v>
      </c>
      <c r="H87" s="11" t="s">
        <v>430</v>
      </c>
      <c r="I87" s="11" t="s">
        <v>423</v>
      </c>
      <c r="J87" s="7" t="s">
        <v>424</v>
      </c>
      <c r="K87" s="24" t="s">
        <v>132</v>
      </c>
      <c r="L87" s="7" t="s">
        <v>126</v>
      </c>
      <c r="M87" s="7" t="s">
        <v>127</v>
      </c>
      <c r="N87" s="7" t="s">
        <v>128</v>
      </c>
      <c r="O87" s="7" t="s">
        <v>24</v>
      </c>
      <c r="P87" s="8">
        <v>0.25</v>
      </c>
      <c r="Q87" s="23">
        <v>46340</v>
      </c>
      <c r="R87" s="23">
        <v>46340</v>
      </c>
      <c r="S87" s="23">
        <v>46346</v>
      </c>
      <c r="T87" s="7" t="s">
        <v>40</v>
      </c>
    </row>
    <row r="88" spans="1:20" x14ac:dyDescent="0.25">
      <c r="A88" s="7">
        <v>84</v>
      </c>
      <c r="B88" s="7" t="s">
        <v>431</v>
      </c>
      <c r="C88" s="7" t="s">
        <v>419</v>
      </c>
      <c r="D88" s="7" t="s">
        <v>322</v>
      </c>
      <c r="E88" s="11" t="s">
        <v>420</v>
      </c>
      <c r="F88" s="11" t="s">
        <v>432</v>
      </c>
      <c r="G88" s="21" t="s">
        <v>122</v>
      </c>
      <c r="H88" s="11" t="s">
        <v>433</v>
      </c>
      <c r="I88" s="11" t="s">
        <v>423</v>
      </c>
      <c r="J88" s="7" t="s">
        <v>424</v>
      </c>
      <c r="K88" s="24" t="s">
        <v>132</v>
      </c>
      <c r="L88" s="7" t="s">
        <v>126</v>
      </c>
      <c r="M88" s="7" t="s">
        <v>127</v>
      </c>
      <c r="N88" s="7" t="s">
        <v>128</v>
      </c>
      <c r="O88" s="7" t="s">
        <v>24</v>
      </c>
      <c r="P88" s="8">
        <v>0.25</v>
      </c>
      <c r="Q88" s="23">
        <v>46346</v>
      </c>
      <c r="R88" s="23">
        <v>46347</v>
      </c>
      <c r="S88" s="23">
        <v>46346</v>
      </c>
      <c r="T88" s="28" t="s">
        <v>434</v>
      </c>
    </row>
    <row r="89" spans="1:20" x14ac:dyDescent="0.25">
      <c r="A89" s="7">
        <v>85</v>
      </c>
      <c r="B89" s="7" t="s">
        <v>435</v>
      </c>
      <c r="C89" s="7" t="s">
        <v>419</v>
      </c>
      <c r="D89" s="7" t="s">
        <v>322</v>
      </c>
      <c r="E89" s="11" t="s">
        <v>420</v>
      </c>
      <c r="F89" s="11" t="s">
        <v>436</v>
      </c>
      <c r="G89" s="25" t="s">
        <v>135</v>
      </c>
      <c r="H89" s="11" t="s">
        <v>422</v>
      </c>
      <c r="I89" s="11" t="s">
        <v>437</v>
      </c>
      <c r="J89" s="7" t="s">
        <v>438</v>
      </c>
      <c r="K89" s="24" t="s">
        <v>132</v>
      </c>
      <c r="L89" s="7" t="s">
        <v>137</v>
      </c>
      <c r="M89" s="7" t="s">
        <v>124</v>
      </c>
      <c r="N89" s="7" t="s">
        <v>128</v>
      </c>
      <c r="O89" s="7" t="s">
        <v>24</v>
      </c>
      <c r="P89" s="8">
        <v>0.25</v>
      </c>
      <c r="Q89" s="23">
        <v>46347</v>
      </c>
      <c r="R89" s="23">
        <v>46347</v>
      </c>
      <c r="S89" s="23">
        <v>46346</v>
      </c>
      <c r="T89" s="28" t="s">
        <v>434</v>
      </c>
    </row>
    <row r="90" spans="1:20" x14ac:dyDescent="0.25">
      <c r="A90" s="7">
        <v>86</v>
      </c>
      <c r="B90" s="7" t="s">
        <v>439</v>
      </c>
      <c r="C90" s="7" t="s">
        <v>440</v>
      </c>
      <c r="D90" s="7" t="s">
        <v>441</v>
      </c>
      <c r="E90" s="11" t="s">
        <v>442</v>
      </c>
      <c r="F90" s="11" t="s">
        <v>443</v>
      </c>
      <c r="G90" s="21" t="s">
        <v>122</v>
      </c>
      <c r="H90" s="11" t="s">
        <v>444</v>
      </c>
      <c r="I90" s="11" t="s">
        <v>445</v>
      </c>
      <c r="J90" s="7" t="s">
        <v>446</v>
      </c>
      <c r="K90" s="24" t="s">
        <v>132</v>
      </c>
      <c r="L90" s="7" t="s">
        <v>126</v>
      </c>
      <c r="M90" s="7" t="s">
        <v>127</v>
      </c>
      <c r="N90" s="7" t="s">
        <v>128</v>
      </c>
      <c r="O90" s="7" t="s">
        <v>24</v>
      </c>
      <c r="P90" s="8">
        <v>0.5</v>
      </c>
      <c r="Q90" s="23">
        <v>46349</v>
      </c>
      <c r="R90" s="23">
        <v>46349</v>
      </c>
      <c r="S90" s="23">
        <v>46353</v>
      </c>
      <c r="T90" s="7" t="s">
        <v>40</v>
      </c>
    </row>
    <row r="91" spans="1:20" x14ac:dyDescent="0.25">
      <c r="A91" s="7">
        <v>87</v>
      </c>
      <c r="B91" s="7" t="s">
        <v>447</v>
      </c>
      <c r="C91" s="7" t="s">
        <v>440</v>
      </c>
      <c r="D91" s="7" t="s">
        <v>441</v>
      </c>
      <c r="E91" s="11" t="s">
        <v>442</v>
      </c>
      <c r="F91" s="11" t="s">
        <v>448</v>
      </c>
      <c r="G91" s="21" t="s">
        <v>122</v>
      </c>
      <c r="H91" s="11" t="s">
        <v>449</v>
      </c>
      <c r="I91" s="11" t="s">
        <v>445</v>
      </c>
      <c r="J91" s="7" t="s">
        <v>446</v>
      </c>
      <c r="K91" s="24" t="s">
        <v>132</v>
      </c>
      <c r="L91" s="7" t="s">
        <v>126</v>
      </c>
      <c r="M91" s="7" t="s">
        <v>127</v>
      </c>
      <c r="N91" s="7" t="s">
        <v>128</v>
      </c>
      <c r="O91" s="7" t="s">
        <v>24</v>
      </c>
      <c r="P91" s="8">
        <v>0.25</v>
      </c>
      <c r="Q91" s="23">
        <v>46349</v>
      </c>
      <c r="R91" s="23">
        <v>46349</v>
      </c>
      <c r="S91" s="23">
        <v>46353</v>
      </c>
      <c r="T91" s="7" t="s">
        <v>40</v>
      </c>
    </row>
    <row r="92" spans="1:20" x14ac:dyDescent="0.25">
      <c r="A92" s="7">
        <v>88</v>
      </c>
      <c r="B92" s="7" t="s">
        <v>450</v>
      </c>
      <c r="C92" s="7" t="s">
        <v>440</v>
      </c>
      <c r="D92" s="7" t="s">
        <v>441</v>
      </c>
      <c r="E92" s="11" t="s">
        <v>442</v>
      </c>
      <c r="F92" s="11" t="s">
        <v>451</v>
      </c>
      <c r="G92" s="25" t="s">
        <v>135</v>
      </c>
      <c r="H92" s="11" t="s">
        <v>452</v>
      </c>
      <c r="I92" s="11" t="s">
        <v>390</v>
      </c>
      <c r="J92" s="7" t="s">
        <v>391</v>
      </c>
      <c r="K92" s="24" t="s">
        <v>132</v>
      </c>
      <c r="L92" s="7" t="s">
        <v>137</v>
      </c>
      <c r="M92" s="7" t="s">
        <v>124</v>
      </c>
      <c r="N92" s="7" t="s">
        <v>128</v>
      </c>
      <c r="O92" s="7" t="s">
        <v>24</v>
      </c>
      <c r="P92" s="8">
        <v>0.25</v>
      </c>
      <c r="Q92" s="23">
        <v>46349</v>
      </c>
      <c r="R92" s="23">
        <v>46349</v>
      </c>
      <c r="S92" s="23">
        <v>46353</v>
      </c>
      <c r="T92" s="7" t="s">
        <v>40</v>
      </c>
    </row>
    <row r="93" spans="1:20" x14ac:dyDescent="0.25">
      <c r="A93" s="7">
        <v>89</v>
      </c>
      <c r="B93" s="7" t="s">
        <v>453</v>
      </c>
      <c r="C93" s="7" t="s">
        <v>454</v>
      </c>
      <c r="D93" s="7" t="s">
        <v>441</v>
      </c>
      <c r="E93" s="11" t="s">
        <v>455</v>
      </c>
      <c r="F93" s="11" t="s">
        <v>456</v>
      </c>
      <c r="G93" s="25" t="s">
        <v>135</v>
      </c>
      <c r="H93" s="11" t="s">
        <v>457</v>
      </c>
      <c r="I93" s="11" t="s">
        <v>458</v>
      </c>
      <c r="J93" s="7" t="s">
        <v>459</v>
      </c>
      <c r="K93" s="24" t="s">
        <v>132</v>
      </c>
      <c r="L93" s="7" t="s">
        <v>137</v>
      </c>
      <c r="M93" s="7" t="s">
        <v>124</v>
      </c>
      <c r="N93" s="7" t="s">
        <v>128</v>
      </c>
      <c r="O93" s="7" t="s">
        <v>24</v>
      </c>
      <c r="P93" s="8">
        <v>0.5</v>
      </c>
      <c r="Q93" s="23">
        <v>46350</v>
      </c>
      <c r="R93" s="23">
        <v>46350</v>
      </c>
      <c r="S93" s="23">
        <v>46353</v>
      </c>
      <c r="T93" s="7" t="s">
        <v>40</v>
      </c>
    </row>
    <row r="94" spans="1:20" x14ac:dyDescent="0.25">
      <c r="A94" s="7">
        <v>90</v>
      </c>
      <c r="B94" s="7" t="s">
        <v>460</v>
      </c>
      <c r="C94" s="7" t="s">
        <v>454</v>
      </c>
      <c r="D94" s="7" t="s">
        <v>441</v>
      </c>
      <c r="E94" s="11" t="s">
        <v>455</v>
      </c>
      <c r="F94" s="11" t="s">
        <v>461</v>
      </c>
      <c r="G94" s="21" t="s">
        <v>122</v>
      </c>
      <c r="H94" s="11" t="s">
        <v>462</v>
      </c>
      <c r="I94" s="11" t="s">
        <v>458</v>
      </c>
      <c r="J94" s="7" t="s">
        <v>459</v>
      </c>
      <c r="K94" s="24" t="s">
        <v>132</v>
      </c>
      <c r="L94" s="7" t="s">
        <v>126</v>
      </c>
      <c r="M94" s="7" t="s">
        <v>127</v>
      </c>
      <c r="N94" s="7" t="s">
        <v>128</v>
      </c>
      <c r="O94" s="7" t="s">
        <v>24</v>
      </c>
      <c r="P94" s="8">
        <v>0.25</v>
      </c>
      <c r="Q94" s="23">
        <v>46350</v>
      </c>
      <c r="R94" s="23">
        <v>46350</v>
      </c>
      <c r="S94" s="23">
        <v>46353</v>
      </c>
      <c r="T94" s="7" t="s">
        <v>40</v>
      </c>
    </row>
    <row r="95" spans="1:20" x14ac:dyDescent="0.25">
      <c r="A95" s="7">
        <v>91</v>
      </c>
      <c r="B95" s="7" t="s">
        <v>463</v>
      </c>
      <c r="C95" s="7" t="s">
        <v>454</v>
      </c>
      <c r="D95" s="7" t="s">
        <v>441</v>
      </c>
      <c r="E95" s="11" t="s">
        <v>464</v>
      </c>
      <c r="F95" s="11" t="s">
        <v>465</v>
      </c>
      <c r="G95" s="25" t="s">
        <v>135</v>
      </c>
      <c r="H95" s="11" t="s">
        <v>466</v>
      </c>
      <c r="I95" s="11" t="s">
        <v>467</v>
      </c>
      <c r="J95" s="7" t="s">
        <v>468</v>
      </c>
      <c r="K95" s="24" t="s">
        <v>132</v>
      </c>
      <c r="L95" s="7" t="s">
        <v>137</v>
      </c>
      <c r="M95" s="7" t="s">
        <v>124</v>
      </c>
      <c r="N95" s="7" t="s">
        <v>128</v>
      </c>
      <c r="O95" s="7" t="s">
        <v>24</v>
      </c>
      <c r="P95" s="8">
        <v>0.25</v>
      </c>
      <c r="Q95" s="23">
        <v>46351</v>
      </c>
      <c r="R95" s="23">
        <v>46351</v>
      </c>
      <c r="S95" s="23">
        <v>46353</v>
      </c>
      <c r="T95" s="7" t="s">
        <v>40</v>
      </c>
    </row>
    <row r="96" spans="1:20" x14ac:dyDescent="0.25">
      <c r="A96" s="7">
        <v>92</v>
      </c>
      <c r="B96" s="7" t="s">
        <v>469</v>
      </c>
      <c r="C96" s="7" t="s">
        <v>470</v>
      </c>
      <c r="D96" s="7" t="s">
        <v>441</v>
      </c>
      <c r="E96" s="11" t="s">
        <v>471</v>
      </c>
      <c r="F96" s="11" t="s">
        <v>472</v>
      </c>
      <c r="G96" s="21" t="s">
        <v>122</v>
      </c>
      <c r="H96" s="11" t="s">
        <v>473</v>
      </c>
      <c r="I96" s="11" t="s">
        <v>474</v>
      </c>
      <c r="J96" s="7" t="s">
        <v>475</v>
      </c>
      <c r="K96" s="24" t="s">
        <v>132</v>
      </c>
      <c r="L96" s="7" t="s">
        <v>126</v>
      </c>
      <c r="M96" s="7" t="s">
        <v>127</v>
      </c>
      <c r="N96" s="7" t="s">
        <v>128</v>
      </c>
      <c r="O96" s="7" t="s">
        <v>24</v>
      </c>
      <c r="P96" s="8">
        <v>0.5</v>
      </c>
      <c r="Q96" s="23">
        <v>46352</v>
      </c>
      <c r="R96" s="23">
        <v>46352</v>
      </c>
      <c r="S96" s="23">
        <v>46353</v>
      </c>
      <c r="T96" s="7" t="s">
        <v>40</v>
      </c>
    </row>
    <row r="97" spans="1:20" x14ac:dyDescent="0.25">
      <c r="A97" s="7">
        <v>93</v>
      </c>
      <c r="B97" s="7" t="s">
        <v>476</v>
      </c>
      <c r="C97" s="7" t="s">
        <v>470</v>
      </c>
      <c r="D97" s="7" t="s">
        <v>441</v>
      </c>
      <c r="E97" s="11" t="s">
        <v>471</v>
      </c>
      <c r="F97" s="11" t="s">
        <v>477</v>
      </c>
      <c r="G97" s="25" t="s">
        <v>135</v>
      </c>
      <c r="H97" s="11" t="s">
        <v>478</v>
      </c>
      <c r="I97" s="11" t="s">
        <v>479</v>
      </c>
      <c r="J97" s="7" t="s">
        <v>475</v>
      </c>
      <c r="K97" s="24" t="s">
        <v>132</v>
      </c>
      <c r="L97" s="7" t="s">
        <v>137</v>
      </c>
      <c r="M97" s="7" t="s">
        <v>124</v>
      </c>
      <c r="N97" s="7" t="s">
        <v>138</v>
      </c>
      <c r="O97" s="7" t="s">
        <v>24</v>
      </c>
      <c r="P97" s="8">
        <v>0.25</v>
      </c>
      <c r="Q97" s="23">
        <v>46352</v>
      </c>
      <c r="R97" s="23">
        <v>46352</v>
      </c>
      <c r="S97" s="23">
        <v>46353</v>
      </c>
      <c r="T97" s="7" t="s">
        <v>40</v>
      </c>
    </row>
    <row r="98" spans="1:20" x14ac:dyDescent="0.25">
      <c r="A98" s="7">
        <v>94</v>
      </c>
      <c r="B98" s="7" t="s">
        <v>480</v>
      </c>
      <c r="C98" s="7" t="s">
        <v>481</v>
      </c>
      <c r="D98" s="7" t="s">
        <v>441</v>
      </c>
      <c r="E98" s="11" t="s">
        <v>482</v>
      </c>
      <c r="F98" s="11" t="s">
        <v>483</v>
      </c>
      <c r="G98" s="21" t="s">
        <v>122</v>
      </c>
      <c r="H98" s="11" t="s">
        <v>484</v>
      </c>
      <c r="I98" s="11" t="s">
        <v>485</v>
      </c>
      <c r="J98" s="7" t="s">
        <v>486</v>
      </c>
      <c r="K98" s="24" t="s">
        <v>132</v>
      </c>
      <c r="L98" s="7" t="s">
        <v>126</v>
      </c>
      <c r="M98" s="7" t="s">
        <v>127</v>
      </c>
      <c r="N98" s="7" t="s">
        <v>128</v>
      </c>
      <c r="O98" s="7" t="s">
        <v>24</v>
      </c>
      <c r="P98" s="8">
        <v>0.25</v>
      </c>
      <c r="Q98" s="23">
        <v>46350</v>
      </c>
      <c r="R98" s="23">
        <v>46350</v>
      </c>
      <c r="S98" s="23">
        <v>46353</v>
      </c>
      <c r="T98" s="7" t="s">
        <v>40</v>
      </c>
    </row>
    <row r="99" spans="1:20" x14ac:dyDescent="0.25">
      <c r="A99" s="7">
        <v>95</v>
      </c>
      <c r="B99" s="7" t="s">
        <v>487</v>
      </c>
      <c r="C99" s="7" t="s">
        <v>481</v>
      </c>
      <c r="D99" s="7" t="s">
        <v>441</v>
      </c>
      <c r="E99" s="11" t="s">
        <v>482</v>
      </c>
      <c r="F99" s="11" t="s">
        <v>488</v>
      </c>
      <c r="G99" s="21" t="s">
        <v>122</v>
      </c>
      <c r="H99" s="11" t="s">
        <v>489</v>
      </c>
      <c r="I99" s="11" t="s">
        <v>490</v>
      </c>
      <c r="J99" s="7" t="s">
        <v>486</v>
      </c>
      <c r="K99" s="24" t="s">
        <v>132</v>
      </c>
      <c r="L99" s="7" t="s">
        <v>126</v>
      </c>
      <c r="M99" s="7" t="s">
        <v>127</v>
      </c>
      <c r="N99" s="7" t="s">
        <v>128</v>
      </c>
      <c r="O99" s="7" t="s">
        <v>24</v>
      </c>
      <c r="P99" s="8">
        <v>0.5</v>
      </c>
      <c r="Q99" s="23">
        <v>46351</v>
      </c>
      <c r="R99" s="23">
        <v>46351</v>
      </c>
      <c r="S99" s="23">
        <v>46353</v>
      </c>
      <c r="T99" s="7" t="s">
        <v>40</v>
      </c>
    </row>
    <row r="100" spans="1:20" x14ac:dyDescent="0.25">
      <c r="A100" s="7">
        <v>96</v>
      </c>
      <c r="B100" s="7" t="s">
        <v>491</v>
      </c>
      <c r="C100" s="7" t="s">
        <v>492</v>
      </c>
      <c r="D100" s="7" t="s">
        <v>493</v>
      </c>
      <c r="E100" s="11" t="s">
        <v>494</v>
      </c>
      <c r="F100" s="11" t="s">
        <v>495</v>
      </c>
      <c r="G100" s="25" t="s">
        <v>135</v>
      </c>
      <c r="H100" s="11" t="s">
        <v>496</v>
      </c>
      <c r="I100" s="11" t="s">
        <v>497</v>
      </c>
      <c r="J100" s="7" t="s">
        <v>498</v>
      </c>
      <c r="K100" s="24" t="s">
        <v>132</v>
      </c>
      <c r="L100" s="7" t="s">
        <v>137</v>
      </c>
      <c r="M100" s="7" t="s">
        <v>124</v>
      </c>
      <c r="N100" s="7" t="s">
        <v>128</v>
      </c>
      <c r="O100" s="7" t="s">
        <v>24</v>
      </c>
      <c r="P100" s="8">
        <v>0.25</v>
      </c>
      <c r="Q100" s="23">
        <v>46351</v>
      </c>
      <c r="R100" s="23">
        <v>46351</v>
      </c>
      <c r="S100" s="23">
        <v>46353</v>
      </c>
      <c r="T100" s="7" t="s">
        <v>40</v>
      </c>
    </row>
    <row r="101" spans="1:20" x14ac:dyDescent="0.25">
      <c r="A101" s="7">
        <v>97</v>
      </c>
      <c r="B101" s="7" t="s">
        <v>499</v>
      </c>
      <c r="C101" s="7" t="s">
        <v>492</v>
      </c>
      <c r="D101" s="7" t="s">
        <v>493</v>
      </c>
      <c r="E101" s="11" t="s">
        <v>494</v>
      </c>
      <c r="F101" s="11" t="s">
        <v>500</v>
      </c>
      <c r="G101" s="25" t="s">
        <v>135</v>
      </c>
      <c r="H101" s="11" t="s">
        <v>501</v>
      </c>
      <c r="I101" s="11" t="s">
        <v>497</v>
      </c>
      <c r="J101" s="7" t="s">
        <v>498</v>
      </c>
      <c r="K101" s="24" t="s">
        <v>132</v>
      </c>
      <c r="L101" s="7" t="s">
        <v>137</v>
      </c>
      <c r="M101" s="7" t="s">
        <v>124</v>
      </c>
      <c r="N101" s="7" t="s">
        <v>128</v>
      </c>
      <c r="O101" s="7" t="s">
        <v>24</v>
      </c>
      <c r="P101" s="8">
        <v>0.25</v>
      </c>
      <c r="Q101" s="23">
        <v>46353</v>
      </c>
      <c r="R101" s="23">
        <v>46353</v>
      </c>
      <c r="S101" s="23">
        <v>46353</v>
      </c>
      <c r="T101" s="7" t="s">
        <v>40</v>
      </c>
    </row>
    <row r="102" spans="1:20" x14ac:dyDescent="0.25">
      <c r="A102" s="7">
        <v>98</v>
      </c>
      <c r="B102" s="7" t="s">
        <v>502</v>
      </c>
      <c r="C102" s="7" t="s">
        <v>503</v>
      </c>
      <c r="D102" s="7" t="s">
        <v>493</v>
      </c>
      <c r="E102" s="11" t="s">
        <v>504</v>
      </c>
      <c r="F102" s="11" t="s">
        <v>483</v>
      </c>
      <c r="G102" s="21" t="s">
        <v>122</v>
      </c>
      <c r="H102" s="11" t="s">
        <v>505</v>
      </c>
      <c r="I102" s="11" t="s">
        <v>485</v>
      </c>
      <c r="J102" s="7" t="s">
        <v>486</v>
      </c>
      <c r="K102" s="24" t="s">
        <v>132</v>
      </c>
      <c r="L102" s="7" t="s">
        <v>126</v>
      </c>
      <c r="M102" s="7" t="s">
        <v>127</v>
      </c>
      <c r="N102" s="7" t="s">
        <v>128</v>
      </c>
      <c r="O102" s="7" t="s">
        <v>27</v>
      </c>
      <c r="P102" s="8">
        <v>0.1</v>
      </c>
      <c r="Q102" s="23">
        <v>46352</v>
      </c>
      <c r="R102" s="23">
        <v>46352</v>
      </c>
      <c r="S102" s="23">
        <v>46353</v>
      </c>
      <c r="T102" s="7" t="s">
        <v>40</v>
      </c>
    </row>
    <row r="103" spans="1:20" x14ac:dyDescent="0.25">
      <c r="A103" s="7">
        <v>99</v>
      </c>
      <c r="B103" s="7" t="s">
        <v>506</v>
      </c>
      <c r="C103" s="7" t="s">
        <v>503</v>
      </c>
      <c r="D103" s="7" t="s">
        <v>493</v>
      </c>
      <c r="E103" s="11" t="s">
        <v>504</v>
      </c>
      <c r="F103" s="11" t="s">
        <v>507</v>
      </c>
      <c r="G103" s="21" t="s">
        <v>122</v>
      </c>
      <c r="H103" s="11" t="s">
        <v>508</v>
      </c>
      <c r="I103" s="11" t="s">
        <v>490</v>
      </c>
      <c r="J103" s="7" t="s">
        <v>486</v>
      </c>
      <c r="K103" s="24" t="s">
        <v>132</v>
      </c>
      <c r="L103" s="7" t="s">
        <v>126</v>
      </c>
      <c r="M103" s="7" t="s">
        <v>127</v>
      </c>
      <c r="N103" s="7" t="s">
        <v>128</v>
      </c>
      <c r="O103" s="7" t="s">
        <v>27</v>
      </c>
      <c r="P103" s="8">
        <v>0.25</v>
      </c>
      <c r="Q103" s="23">
        <v>46352</v>
      </c>
      <c r="R103" s="23">
        <v>46352</v>
      </c>
      <c r="S103" s="23">
        <v>46353</v>
      </c>
      <c r="T103" s="7" t="s">
        <v>40</v>
      </c>
    </row>
    <row r="104" spans="1:20" x14ac:dyDescent="0.25">
      <c r="A104" s="7">
        <v>100</v>
      </c>
      <c r="B104" s="7" t="s">
        <v>509</v>
      </c>
      <c r="C104" s="7" t="s">
        <v>510</v>
      </c>
      <c r="D104" s="7" t="s">
        <v>493</v>
      </c>
      <c r="E104" s="11" t="s">
        <v>511</v>
      </c>
      <c r="F104" s="11" t="s">
        <v>495</v>
      </c>
      <c r="G104" s="25" t="s">
        <v>135</v>
      </c>
      <c r="H104" s="11" t="s">
        <v>512</v>
      </c>
      <c r="I104" s="11" t="s">
        <v>513</v>
      </c>
      <c r="J104" s="7" t="s">
        <v>514</v>
      </c>
      <c r="K104" s="24" t="s">
        <v>132</v>
      </c>
      <c r="L104" s="7" t="s">
        <v>137</v>
      </c>
      <c r="M104" s="7" t="s">
        <v>124</v>
      </c>
      <c r="N104" s="7" t="s">
        <v>128</v>
      </c>
      <c r="O104" s="7" t="s">
        <v>24</v>
      </c>
      <c r="P104" s="8">
        <v>0.25</v>
      </c>
      <c r="Q104" s="23">
        <v>46353</v>
      </c>
      <c r="R104" s="23">
        <v>46353</v>
      </c>
      <c r="S104" s="23">
        <v>46353</v>
      </c>
      <c r="T104" s="7" t="s">
        <v>40</v>
      </c>
    </row>
    <row r="105" spans="1:20" x14ac:dyDescent="0.25">
      <c r="A105" s="7">
        <v>101</v>
      </c>
      <c r="B105" s="7" t="s">
        <v>515</v>
      </c>
      <c r="C105" s="7" t="s">
        <v>510</v>
      </c>
      <c r="D105" s="7" t="s">
        <v>493</v>
      </c>
      <c r="E105" s="11" t="s">
        <v>511</v>
      </c>
      <c r="F105" s="11" t="s">
        <v>500</v>
      </c>
      <c r="G105" s="25" t="s">
        <v>135</v>
      </c>
      <c r="H105" s="11" t="s">
        <v>516</v>
      </c>
      <c r="I105" s="11" t="s">
        <v>513</v>
      </c>
      <c r="J105" s="7" t="s">
        <v>514</v>
      </c>
      <c r="K105" s="24" t="s">
        <v>132</v>
      </c>
      <c r="L105" s="7" t="s">
        <v>137</v>
      </c>
      <c r="M105" s="7" t="s">
        <v>124</v>
      </c>
      <c r="N105" s="7" t="s">
        <v>128</v>
      </c>
      <c r="O105" s="7" t="s">
        <v>24</v>
      </c>
      <c r="P105" s="8">
        <v>0.25</v>
      </c>
      <c r="Q105" s="23">
        <v>46353</v>
      </c>
      <c r="R105" s="23">
        <v>46353</v>
      </c>
      <c r="S105" s="23">
        <v>46353</v>
      </c>
      <c r="T105" s="7" t="s">
        <v>40</v>
      </c>
    </row>
    <row r="106" spans="1:20" x14ac:dyDescent="0.25">
      <c r="A106" s="7">
        <v>102</v>
      </c>
      <c r="B106" s="7" t="s">
        <v>517</v>
      </c>
      <c r="C106" s="7" t="s">
        <v>518</v>
      </c>
      <c r="D106" s="7" t="s">
        <v>493</v>
      </c>
      <c r="E106" s="11" t="s">
        <v>519</v>
      </c>
      <c r="F106" s="11" t="s">
        <v>483</v>
      </c>
      <c r="G106" s="21" t="s">
        <v>122</v>
      </c>
      <c r="H106" s="11" t="s">
        <v>520</v>
      </c>
      <c r="I106" s="11" t="s">
        <v>485</v>
      </c>
      <c r="J106" s="7" t="s">
        <v>486</v>
      </c>
      <c r="K106" s="24" t="s">
        <v>132</v>
      </c>
      <c r="L106" s="7" t="s">
        <v>126</v>
      </c>
      <c r="M106" s="7" t="s">
        <v>127</v>
      </c>
      <c r="N106" s="7" t="s">
        <v>128</v>
      </c>
      <c r="O106" s="7" t="s">
        <v>27</v>
      </c>
      <c r="P106" s="8">
        <v>0.1</v>
      </c>
      <c r="Q106" s="23">
        <v>46352</v>
      </c>
      <c r="R106" s="23">
        <v>46353</v>
      </c>
      <c r="S106" s="23">
        <v>46353</v>
      </c>
      <c r="T106" s="7" t="s">
        <v>40</v>
      </c>
    </row>
    <row r="107" spans="1:20" x14ac:dyDescent="0.25">
      <c r="A107" s="7">
        <v>103</v>
      </c>
      <c r="B107" s="7" t="s">
        <v>521</v>
      </c>
      <c r="C107" s="7" t="s">
        <v>518</v>
      </c>
      <c r="D107" s="7" t="s">
        <v>493</v>
      </c>
      <c r="E107" s="11" t="s">
        <v>519</v>
      </c>
      <c r="F107" s="11" t="s">
        <v>507</v>
      </c>
      <c r="G107" s="21" t="s">
        <v>122</v>
      </c>
      <c r="H107" s="11" t="s">
        <v>522</v>
      </c>
      <c r="I107" s="11" t="s">
        <v>490</v>
      </c>
      <c r="J107" s="7" t="s">
        <v>486</v>
      </c>
      <c r="K107" s="24" t="s">
        <v>132</v>
      </c>
      <c r="L107" s="7" t="s">
        <v>126</v>
      </c>
      <c r="M107" s="7" t="s">
        <v>127</v>
      </c>
      <c r="N107" s="7" t="s">
        <v>128</v>
      </c>
      <c r="O107" s="7" t="s">
        <v>27</v>
      </c>
      <c r="P107" s="8">
        <v>0.25</v>
      </c>
      <c r="Q107" s="23">
        <v>46353</v>
      </c>
      <c r="R107" s="23">
        <v>46353</v>
      </c>
      <c r="S107" s="23">
        <v>46353</v>
      </c>
      <c r="T107" s="7" t="s">
        <v>40</v>
      </c>
    </row>
    <row r="108" spans="1:20" x14ac:dyDescent="0.25">
      <c r="A108" s="7">
        <v>104</v>
      </c>
      <c r="B108" s="7" t="s">
        <v>523</v>
      </c>
      <c r="C108" s="7" t="s">
        <v>524</v>
      </c>
      <c r="D108" s="7" t="s">
        <v>493</v>
      </c>
      <c r="E108" s="11" t="s">
        <v>525</v>
      </c>
      <c r="F108" s="11" t="s">
        <v>483</v>
      </c>
      <c r="G108" s="21" t="s">
        <v>122</v>
      </c>
      <c r="H108" s="11" t="s">
        <v>526</v>
      </c>
      <c r="I108" s="11" t="s">
        <v>485</v>
      </c>
      <c r="J108" s="7" t="s">
        <v>486</v>
      </c>
      <c r="K108" s="24" t="s">
        <v>132</v>
      </c>
      <c r="L108" s="7" t="s">
        <v>126</v>
      </c>
      <c r="M108" s="7" t="s">
        <v>127</v>
      </c>
      <c r="N108" s="7" t="s">
        <v>128</v>
      </c>
      <c r="O108" s="7" t="s">
        <v>27</v>
      </c>
      <c r="P108" s="8">
        <v>0.1</v>
      </c>
      <c r="Q108" s="23">
        <v>46353</v>
      </c>
      <c r="R108" s="23">
        <v>46353</v>
      </c>
      <c r="S108" s="23">
        <v>46353</v>
      </c>
      <c r="T108" s="7" t="s">
        <v>40</v>
      </c>
    </row>
    <row r="109" spans="1:20" x14ac:dyDescent="0.25">
      <c r="A109" s="7">
        <v>105</v>
      </c>
      <c r="B109" s="7" t="s">
        <v>527</v>
      </c>
      <c r="C109" s="7" t="s">
        <v>524</v>
      </c>
      <c r="D109" s="7" t="s">
        <v>493</v>
      </c>
      <c r="E109" s="11" t="s">
        <v>525</v>
      </c>
      <c r="F109" s="11" t="s">
        <v>528</v>
      </c>
      <c r="G109" s="21" t="s">
        <v>122</v>
      </c>
      <c r="H109" s="11" t="s">
        <v>529</v>
      </c>
      <c r="I109" s="11" t="s">
        <v>490</v>
      </c>
      <c r="J109" s="7" t="s">
        <v>486</v>
      </c>
      <c r="K109" s="24" t="s">
        <v>132</v>
      </c>
      <c r="L109" s="7" t="s">
        <v>126</v>
      </c>
      <c r="M109" s="7" t="s">
        <v>127</v>
      </c>
      <c r="N109" s="7" t="s">
        <v>128</v>
      </c>
      <c r="O109" s="7" t="s">
        <v>27</v>
      </c>
      <c r="P109" s="8">
        <v>0.25</v>
      </c>
      <c r="Q109" s="23">
        <v>46353</v>
      </c>
      <c r="R109" s="23">
        <v>46353</v>
      </c>
      <c r="S109" s="23">
        <v>46353</v>
      </c>
      <c r="T109" s="7" t="s">
        <v>40</v>
      </c>
    </row>
    <row r="110" spans="1:20" x14ac:dyDescent="0.25">
      <c r="A110" s="7">
        <v>106</v>
      </c>
      <c r="B110" s="7" t="s">
        <v>530</v>
      </c>
      <c r="C110" s="7" t="s">
        <v>524</v>
      </c>
      <c r="D110" s="7" t="s">
        <v>493</v>
      </c>
      <c r="E110" s="11" t="s">
        <v>525</v>
      </c>
      <c r="F110" s="11" t="s">
        <v>531</v>
      </c>
      <c r="G110" s="25" t="s">
        <v>135</v>
      </c>
      <c r="H110" s="11" t="s">
        <v>529</v>
      </c>
      <c r="I110" s="11" t="s">
        <v>532</v>
      </c>
      <c r="J110" s="7" t="s">
        <v>486</v>
      </c>
      <c r="K110" s="24" t="s">
        <v>132</v>
      </c>
      <c r="L110" s="7" t="s">
        <v>137</v>
      </c>
      <c r="M110" s="7" t="s">
        <v>124</v>
      </c>
      <c r="N110" s="7" t="s">
        <v>138</v>
      </c>
      <c r="O110" s="7" t="s">
        <v>27</v>
      </c>
      <c r="P110" s="8">
        <v>0.25</v>
      </c>
      <c r="Q110" s="23">
        <v>46353</v>
      </c>
      <c r="R110" s="23">
        <v>46354</v>
      </c>
      <c r="S110" s="23">
        <v>46353</v>
      </c>
      <c r="T110" s="28" t="s">
        <v>434</v>
      </c>
    </row>
    <row r="111" spans="1:20" x14ac:dyDescent="0.25">
      <c r="A111" s="7">
        <v>107</v>
      </c>
      <c r="B111" s="7" t="s">
        <v>533</v>
      </c>
      <c r="C111" s="7" t="s">
        <v>534</v>
      </c>
      <c r="D111" s="7" t="s">
        <v>493</v>
      </c>
      <c r="E111" s="11" t="s">
        <v>525</v>
      </c>
      <c r="F111" s="11" t="s">
        <v>535</v>
      </c>
      <c r="G111" s="21" t="s">
        <v>122</v>
      </c>
      <c r="H111" s="11" t="s">
        <v>536</v>
      </c>
      <c r="I111" s="11" t="s">
        <v>537</v>
      </c>
      <c r="J111" s="7" t="s">
        <v>486</v>
      </c>
      <c r="K111" s="22" t="s">
        <v>125</v>
      </c>
      <c r="L111" s="7" t="s">
        <v>126</v>
      </c>
      <c r="M111" s="7" t="s">
        <v>127</v>
      </c>
      <c r="N111" s="7" t="s">
        <v>128</v>
      </c>
      <c r="O111" s="7" t="s">
        <v>24</v>
      </c>
      <c r="P111" s="8">
        <v>0.25</v>
      </c>
      <c r="Q111" s="23">
        <v>46347</v>
      </c>
      <c r="R111" s="23">
        <v>46347</v>
      </c>
      <c r="S111" s="23">
        <v>46353</v>
      </c>
      <c r="T111" s="7" t="s">
        <v>40</v>
      </c>
    </row>
    <row r="112" spans="1:20" x14ac:dyDescent="0.25">
      <c r="A112" s="7">
        <v>108</v>
      </c>
      <c r="B112" s="7" t="s">
        <v>538</v>
      </c>
      <c r="C112" s="7" t="s">
        <v>539</v>
      </c>
      <c r="D112" s="7" t="s">
        <v>493</v>
      </c>
      <c r="E112" s="11" t="s">
        <v>540</v>
      </c>
      <c r="F112" s="11" t="s">
        <v>541</v>
      </c>
      <c r="G112" s="21" t="s">
        <v>122</v>
      </c>
      <c r="H112" s="11" t="s">
        <v>542</v>
      </c>
      <c r="I112" s="11" t="s">
        <v>537</v>
      </c>
      <c r="J112" s="7" t="s">
        <v>486</v>
      </c>
      <c r="K112" s="24" t="s">
        <v>132</v>
      </c>
      <c r="L112" s="7" t="s">
        <v>126</v>
      </c>
      <c r="M112" s="7" t="s">
        <v>127</v>
      </c>
      <c r="N112" s="7" t="s">
        <v>128</v>
      </c>
      <c r="O112" s="7" t="s">
        <v>24</v>
      </c>
      <c r="P112" s="8">
        <v>0.5</v>
      </c>
      <c r="Q112" s="23">
        <v>46347</v>
      </c>
      <c r="R112" s="23">
        <v>46354</v>
      </c>
      <c r="S112" s="23">
        <v>46353</v>
      </c>
      <c r="T112" s="28" t="s">
        <v>434</v>
      </c>
    </row>
    <row r="113" spans="1:20" x14ac:dyDescent="0.25">
      <c r="A113" s="7">
        <v>109</v>
      </c>
      <c r="B113" s="7" t="s">
        <v>543</v>
      </c>
      <c r="C113" s="7" t="s">
        <v>539</v>
      </c>
      <c r="D113" s="7" t="s">
        <v>493</v>
      </c>
      <c r="E113" s="11" t="s">
        <v>540</v>
      </c>
      <c r="F113" s="11" t="s">
        <v>544</v>
      </c>
      <c r="G113" s="25" t="s">
        <v>135</v>
      </c>
      <c r="H113" s="11" t="s">
        <v>545</v>
      </c>
      <c r="I113" s="11" t="s">
        <v>191</v>
      </c>
      <c r="J113" s="7" t="s">
        <v>124</v>
      </c>
      <c r="K113" s="24" t="s">
        <v>132</v>
      </c>
      <c r="L113" s="7" t="s">
        <v>137</v>
      </c>
      <c r="M113" s="7" t="s">
        <v>124</v>
      </c>
      <c r="N113" s="7" t="s">
        <v>138</v>
      </c>
      <c r="O113" s="7" t="s">
        <v>24</v>
      </c>
      <c r="P113" s="8">
        <v>0.25</v>
      </c>
      <c r="Q113" s="23">
        <v>46354</v>
      </c>
      <c r="R113" s="23">
        <v>46354</v>
      </c>
      <c r="S113" s="23">
        <v>46353</v>
      </c>
      <c r="T113" s="28" t="s">
        <v>434</v>
      </c>
    </row>
    <row r="114" spans="1:20" x14ac:dyDescent="0.25">
      <c r="A114" s="7">
        <v>110</v>
      </c>
      <c r="B114" s="7" t="s">
        <v>546</v>
      </c>
      <c r="C114" s="7" t="s">
        <v>547</v>
      </c>
      <c r="D114" s="7" t="s">
        <v>493</v>
      </c>
      <c r="E114" s="11" t="s">
        <v>548</v>
      </c>
      <c r="F114" s="11" t="s">
        <v>549</v>
      </c>
      <c r="G114" s="25" t="s">
        <v>135</v>
      </c>
      <c r="H114" s="11" t="s">
        <v>550</v>
      </c>
      <c r="I114" s="11" t="s">
        <v>551</v>
      </c>
      <c r="J114" s="7" t="s">
        <v>552</v>
      </c>
      <c r="K114" s="24" t="s">
        <v>132</v>
      </c>
      <c r="L114" s="7" t="s">
        <v>137</v>
      </c>
      <c r="M114" s="7" t="s">
        <v>124</v>
      </c>
      <c r="N114" s="7" t="s">
        <v>128</v>
      </c>
      <c r="O114" s="7" t="s">
        <v>24</v>
      </c>
      <c r="P114" s="8">
        <v>0.25</v>
      </c>
      <c r="Q114" s="23">
        <v>46356</v>
      </c>
      <c r="R114" s="23">
        <v>46356</v>
      </c>
      <c r="S114" s="23">
        <v>46356</v>
      </c>
      <c r="T114" s="7" t="s">
        <v>40</v>
      </c>
    </row>
    <row r="115" spans="1:20" x14ac:dyDescent="0.25">
      <c r="A115" s="7">
        <v>111</v>
      </c>
      <c r="B115" s="7" t="s">
        <v>553</v>
      </c>
      <c r="C115" s="7" t="s">
        <v>547</v>
      </c>
      <c r="D115" s="7" t="s">
        <v>493</v>
      </c>
      <c r="E115" s="11" t="s">
        <v>548</v>
      </c>
      <c r="F115" s="11" t="s">
        <v>554</v>
      </c>
      <c r="G115" s="25" t="s">
        <v>135</v>
      </c>
      <c r="H115" s="11" t="s">
        <v>555</v>
      </c>
      <c r="I115" s="11" t="s">
        <v>551</v>
      </c>
      <c r="J115" s="7" t="s">
        <v>552</v>
      </c>
      <c r="K115" s="24" t="s">
        <v>132</v>
      </c>
      <c r="L115" s="7" t="s">
        <v>137</v>
      </c>
      <c r="M115" s="7" t="s">
        <v>124</v>
      </c>
      <c r="N115" s="7" t="s">
        <v>128</v>
      </c>
      <c r="O115" s="7" t="s">
        <v>24</v>
      </c>
      <c r="P115" s="8">
        <v>0.5</v>
      </c>
      <c r="Q115" s="23">
        <v>46356</v>
      </c>
      <c r="R115" s="23">
        <v>46356</v>
      </c>
      <c r="S115" s="23">
        <v>46356</v>
      </c>
      <c r="T115" s="7" t="s">
        <v>40</v>
      </c>
    </row>
    <row r="116" spans="1:20" x14ac:dyDescent="0.25">
      <c r="A116" s="7">
        <v>112</v>
      </c>
      <c r="B116" s="7" t="s">
        <v>556</v>
      </c>
      <c r="C116" s="7" t="s">
        <v>547</v>
      </c>
      <c r="D116" s="7" t="s">
        <v>493</v>
      </c>
      <c r="E116" s="11" t="s">
        <v>548</v>
      </c>
      <c r="F116" s="11" t="s">
        <v>557</v>
      </c>
      <c r="G116" s="21" t="s">
        <v>122</v>
      </c>
      <c r="H116" s="11" t="s">
        <v>558</v>
      </c>
      <c r="I116" s="11" t="s">
        <v>551</v>
      </c>
      <c r="J116" s="7" t="s">
        <v>552</v>
      </c>
      <c r="K116" s="24" t="s">
        <v>132</v>
      </c>
      <c r="L116" s="7" t="s">
        <v>126</v>
      </c>
      <c r="M116" s="7" t="s">
        <v>127</v>
      </c>
      <c r="N116" s="7" t="s">
        <v>128</v>
      </c>
      <c r="O116" s="7" t="s">
        <v>24</v>
      </c>
      <c r="P116" s="8">
        <v>0.25</v>
      </c>
      <c r="Q116" s="23">
        <v>46356</v>
      </c>
      <c r="R116" s="23">
        <v>46356</v>
      </c>
      <c r="S116" s="23">
        <v>46356</v>
      </c>
      <c r="T116" s="7" t="s">
        <v>40</v>
      </c>
    </row>
    <row r="118" spans="2:2" x14ac:dyDescent="0.25">
      <c r="B118" s="3" t="s">
        <v>559</v>
      </c>
    </row>
    <row r="119" spans="2:4" x14ac:dyDescent="0.25">
      <c r="B119" t="s">
        <v>143</v>
      </c>
      <c r="C119">
        <f>COUNTIF(K5:K116,B119)</f>
      </c>
      <c r="D119" s="29">
        <f>SUMIF(K5:K116,B119,P5:P116)</f>
      </c>
    </row>
    <row r="120" spans="2:4" x14ac:dyDescent="0.25">
      <c r="B120" t="s">
        <v>125</v>
      </c>
      <c r="C120">
        <f>COUNTIF(K5:K116,B120)</f>
      </c>
      <c r="D120" s="29">
        <f>SUMIF(K5:K116,B120,P5:P116)</f>
      </c>
    </row>
    <row r="121" spans="2:4" x14ac:dyDescent="0.25">
      <c r="B121" t="s">
        <v>132</v>
      </c>
      <c r="C121">
        <f>COUNTIF(K5:K116,B121)</f>
      </c>
      <c r="D121" s="29">
        <f>SUMIF(K5:K116,B121,P5:P116)</f>
      </c>
    </row>
    <row r="122" spans="2:4" s="3" customFormat="1" x14ac:dyDescent="0.25">
      <c r="B122" s="3" t="s">
        <v>560</v>
      </c>
      <c r="C122" s="3">
        <f>SUM(C119:C121)</f>
      </c>
      <c r="D122" s="3">
        <f>SUM(D119:D121)</f>
      </c>
    </row>
  </sheetData>
  <autoFilter ref="A4:T1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7"/>
  <sheetViews>
    <sheetView workbookViewId="0">
      <pane xSplit="4" ySplit="4" topLeftCell="E5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6" customWidth="1"/>
    <col min="3" max="3" width="14" customWidth="1"/>
    <col min="4" max="4" width="60" customWidth="1"/>
    <col min="5" max="5" width="26" customWidth="1"/>
    <col min="7" max="7" width="12" customWidth="1"/>
    <col min="8" max="12" width="7" customWidth="1"/>
    <col min="14" max="15" width="11" customWidth="1"/>
    <col min="16" max="16" width="8" customWidth="1"/>
    <col min="17" max="17" width="14" customWidth="1"/>
    <col min="18" max="18" width="32" customWidth="1"/>
    <col min="19" max="19" width="11" customWidth="1"/>
    <col min="20" max="20" width="13" customWidth="1"/>
    <col min="21" max="21" width="20" customWidth="1"/>
  </cols>
  <sheetData>
    <row r="1" spans="1:1" x14ac:dyDescent="0.25">
      <c r="A1" s="1" t="s">
        <v>561</v>
      </c>
    </row>
    <row r="2" spans="1:1" x14ac:dyDescent="0.25">
      <c r="A2" s="2" t="s">
        <v>562</v>
      </c>
    </row>
    <row r="4" ht="32" customHeight="1" spans="1:21" x14ac:dyDescent="0.25">
      <c r="A4" s="6" t="s">
        <v>563</v>
      </c>
      <c r="B4" s="6" t="s">
        <v>564</v>
      </c>
      <c r="C4" s="6" t="s">
        <v>100</v>
      </c>
      <c r="D4" s="6" t="s">
        <v>565</v>
      </c>
      <c r="E4" s="6" t="s">
        <v>566</v>
      </c>
      <c r="F4" s="6" t="s">
        <v>567</v>
      </c>
      <c r="G4" s="6" t="s">
        <v>568</v>
      </c>
      <c r="H4" s="6" t="s">
        <v>24</v>
      </c>
      <c r="I4" s="6" t="s">
        <v>27</v>
      </c>
      <c r="J4" s="6" t="s">
        <v>30</v>
      </c>
      <c r="K4" s="6" t="s">
        <v>33</v>
      </c>
      <c r="L4" s="6" t="s">
        <v>36</v>
      </c>
      <c r="M4" s="6" t="s">
        <v>569</v>
      </c>
      <c r="N4" s="6" t="s">
        <v>114</v>
      </c>
      <c r="O4" s="6" t="s">
        <v>115</v>
      </c>
      <c r="P4" s="6" t="s">
        <v>570</v>
      </c>
      <c r="Q4" s="6" t="s">
        <v>571</v>
      </c>
      <c r="R4" s="6" t="s">
        <v>572</v>
      </c>
      <c r="S4" s="6" t="s">
        <v>116</v>
      </c>
      <c r="T4" s="6" t="s">
        <v>108</v>
      </c>
      <c r="U4" s="6" t="s">
        <v>573</v>
      </c>
    </row>
    <row r="5" spans="1:21" x14ac:dyDescent="0.25">
      <c r="A5" s="7" t="s">
        <v>574</v>
      </c>
      <c r="B5" s="11" t="s">
        <v>575</v>
      </c>
      <c r="C5" s="7" t="s">
        <v>576</v>
      </c>
      <c r="D5" s="11" t="s">
        <v>577</v>
      </c>
      <c r="E5" s="11" t="s">
        <v>578</v>
      </c>
      <c r="F5" s="25" t="s">
        <v>24</v>
      </c>
      <c r="G5" s="7" t="s">
        <v>579</v>
      </c>
      <c r="H5" s="8">
        <v>0.5</v>
      </c>
      <c r="I5" s="8">
        <v>0.25</v>
      </c>
      <c r="J5" s="8">
        <v>0.25</v>
      </c>
      <c r="K5" s="8">
        <v>0.25</v>
      </c>
      <c r="L5" s="8">
        <v>0.25</v>
      </c>
      <c r="M5" s="8">
        <f>SUM(H5:L5)</f>
      </c>
      <c r="N5" s="23">
        <v>46324</v>
      </c>
      <c r="O5" s="23">
        <v>46324</v>
      </c>
      <c r="P5" s="7">
        <f>NETWORKDAYS(N5,O5)</f>
      </c>
      <c r="Q5" s="7" t="s">
        <v>40</v>
      </c>
      <c r="R5" s="11" t="s">
        <v>580</v>
      </c>
      <c r="S5" s="23"/>
      <c r="T5" s="7" t="s">
        <v>581</v>
      </c>
      <c r="U5" s="7" t="s">
        <v>582</v>
      </c>
    </row>
    <row r="6" spans="1:21" x14ac:dyDescent="0.25">
      <c r="A6" s="7" t="s">
        <v>583</v>
      </c>
      <c r="B6" s="11" t="s">
        <v>575</v>
      </c>
      <c r="C6" s="7" t="s">
        <v>576</v>
      </c>
      <c r="D6" s="11" t="s">
        <v>584</v>
      </c>
      <c r="E6" s="11" t="s">
        <v>585</v>
      </c>
      <c r="F6" s="21" t="s">
        <v>27</v>
      </c>
      <c r="G6" s="7" t="s">
        <v>579</v>
      </c>
      <c r="H6" s="8">
        <v>0.5</v>
      </c>
      <c r="I6" s="8">
        <v>0.5</v>
      </c>
      <c r="J6" s="8"/>
      <c r="K6" s="8"/>
      <c r="L6" s="8"/>
      <c r="M6" s="8">
        <f>SUM(H6:L6)</f>
      </c>
      <c r="N6" s="23">
        <v>46324</v>
      </c>
      <c r="O6" s="23">
        <v>46325</v>
      </c>
      <c r="P6" s="7">
        <f>NETWORKDAYS(N6,O6)</f>
      </c>
      <c r="Q6" s="7" t="s">
        <v>574</v>
      </c>
      <c r="R6" s="11" t="s">
        <v>586</v>
      </c>
      <c r="S6" s="23"/>
      <c r="T6" s="7" t="s">
        <v>581</v>
      </c>
      <c r="U6" s="7" t="s">
        <v>582</v>
      </c>
    </row>
    <row r="7" spans="1:21" x14ac:dyDescent="0.25">
      <c r="A7" s="7" t="s">
        <v>587</v>
      </c>
      <c r="B7" s="11" t="s">
        <v>575</v>
      </c>
      <c r="C7" s="7" t="s">
        <v>588</v>
      </c>
      <c r="D7" s="11" t="s">
        <v>589</v>
      </c>
      <c r="E7" s="11" t="s">
        <v>590</v>
      </c>
      <c r="F7" s="27" t="s">
        <v>36</v>
      </c>
      <c r="G7" s="7" t="s">
        <v>579</v>
      </c>
      <c r="H7" s="8">
        <v>0.5</v>
      </c>
      <c r="I7" s="8">
        <v>0.25</v>
      </c>
      <c r="J7" s="8"/>
      <c r="K7" s="8"/>
      <c r="L7" s="8">
        <v>1</v>
      </c>
      <c r="M7" s="8">
        <f>SUM(H7:L7)</f>
      </c>
      <c r="N7" s="23">
        <v>46325</v>
      </c>
      <c r="O7" s="23">
        <v>46329</v>
      </c>
      <c r="P7" s="7">
        <f>NETWORKDAYS(N7,O7)</f>
      </c>
      <c r="Q7" s="7" t="s">
        <v>574</v>
      </c>
      <c r="R7" s="11" t="s">
        <v>591</v>
      </c>
      <c r="S7" s="23"/>
      <c r="T7" s="7" t="s">
        <v>581</v>
      </c>
      <c r="U7" s="7" t="s">
        <v>582</v>
      </c>
    </row>
    <row r="8" spans="1:21" x14ac:dyDescent="0.25">
      <c r="A8" s="7" t="s">
        <v>592</v>
      </c>
      <c r="B8" s="11" t="s">
        <v>575</v>
      </c>
      <c r="C8" s="7" t="s">
        <v>593</v>
      </c>
      <c r="D8" s="11" t="s">
        <v>594</v>
      </c>
      <c r="E8" s="11" t="s">
        <v>595</v>
      </c>
      <c r="F8" s="30" t="s">
        <v>33</v>
      </c>
      <c r="G8" s="7" t="s">
        <v>579</v>
      </c>
      <c r="H8" s="8">
        <v>0.5</v>
      </c>
      <c r="I8" s="8">
        <v>0.25</v>
      </c>
      <c r="J8" s="8">
        <v>0.25</v>
      </c>
      <c r="K8" s="8">
        <v>1</v>
      </c>
      <c r="L8" s="8"/>
      <c r="M8" s="8">
        <f>SUM(H8:L8)</f>
      </c>
      <c r="N8" s="23">
        <v>46325</v>
      </c>
      <c r="O8" s="23">
        <v>46329</v>
      </c>
      <c r="P8" s="7">
        <f>NETWORKDAYS(N8,O8)</f>
      </c>
      <c r="Q8" s="7" t="s">
        <v>574</v>
      </c>
      <c r="R8" s="11" t="s">
        <v>596</v>
      </c>
      <c r="S8" s="23"/>
      <c r="T8" s="7" t="s">
        <v>581</v>
      </c>
      <c r="U8" s="7" t="s">
        <v>582</v>
      </c>
    </row>
    <row r="9" spans="1:21" x14ac:dyDescent="0.25">
      <c r="A9" s="7" t="s">
        <v>597</v>
      </c>
      <c r="B9" s="11" t="s">
        <v>575</v>
      </c>
      <c r="C9" s="7" t="s">
        <v>576</v>
      </c>
      <c r="D9" s="11" t="s">
        <v>598</v>
      </c>
      <c r="E9" s="11" t="s">
        <v>599</v>
      </c>
      <c r="F9" s="25" t="s">
        <v>24</v>
      </c>
      <c r="G9" s="7" t="s">
        <v>579</v>
      </c>
      <c r="H9" s="8">
        <v>0.5</v>
      </c>
      <c r="I9" s="8"/>
      <c r="J9" s="8"/>
      <c r="K9" s="8">
        <v>0.25</v>
      </c>
      <c r="L9" s="8">
        <v>0.25</v>
      </c>
      <c r="M9" s="8">
        <f>SUM(H9:L9)</f>
      </c>
      <c r="N9" s="23">
        <v>46329</v>
      </c>
      <c r="O9" s="23">
        <v>46330</v>
      </c>
      <c r="P9" s="7">
        <f>NETWORKDAYS(N9,O9)</f>
      </c>
      <c r="Q9" s="7" t="s">
        <v>600</v>
      </c>
      <c r="R9" s="11" t="s">
        <v>601</v>
      </c>
      <c r="S9" s="23"/>
      <c r="T9" s="7" t="s">
        <v>581</v>
      </c>
      <c r="U9" s="7" t="s">
        <v>582</v>
      </c>
    </row>
    <row r="10" spans="1:21" x14ac:dyDescent="0.25">
      <c r="A10" s="7" t="s">
        <v>139</v>
      </c>
      <c r="B10" s="11" t="s">
        <v>602</v>
      </c>
      <c r="C10" s="7" t="s">
        <v>119</v>
      </c>
      <c r="D10" s="11" t="s">
        <v>603</v>
      </c>
      <c r="E10" s="11" t="s">
        <v>604</v>
      </c>
      <c r="F10" s="25" t="s">
        <v>24</v>
      </c>
      <c r="G10" s="7" t="s">
        <v>605</v>
      </c>
      <c r="H10" s="8">
        <v>0.1</v>
      </c>
      <c r="I10" s="8"/>
      <c r="J10" s="8"/>
      <c r="K10" s="8"/>
      <c r="L10" s="8"/>
      <c r="M10" s="8">
        <f>SUM(H10:L10)</f>
      </c>
      <c r="N10" s="23">
        <v>46325</v>
      </c>
      <c r="O10" s="23">
        <v>46325</v>
      </c>
      <c r="P10" s="7">
        <f>NETWORKDAYS(N10,O10)</f>
      </c>
      <c r="Q10" s="7" t="s">
        <v>583</v>
      </c>
      <c r="R10" s="11" t="s">
        <v>606</v>
      </c>
      <c r="S10" s="23">
        <v>46339</v>
      </c>
      <c r="T10" s="7" t="s">
        <v>581</v>
      </c>
      <c r="U10" s="7" t="s">
        <v>607</v>
      </c>
    </row>
    <row r="11" spans="1:21" x14ac:dyDescent="0.25">
      <c r="A11" s="7" t="s">
        <v>149</v>
      </c>
      <c r="B11" s="11" t="s">
        <v>602</v>
      </c>
      <c r="C11" s="7" t="s">
        <v>119</v>
      </c>
      <c r="D11" s="11" t="s">
        <v>608</v>
      </c>
      <c r="E11" s="11" t="s">
        <v>604</v>
      </c>
      <c r="F11" s="25" t="s">
        <v>24</v>
      </c>
      <c r="G11" s="7" t="s">
        <v>605</v>
      </c>
      <c r="H11" s="8">
        <v>0.1</v>
      </c>
      <c r="I11" s="8"/>
      <c r="J11" s="8"/>
      <c r="K11" s="8"/>
      <c r="L11" s="8"/>
      <c r="M11" s="8">
        <f>SUM(H11:L11)</f>
      </c>
      <c r="N11" s="23">
        <v>46325</v>
      </c>
      <c r="O11" s="23">
        <v>46325</v>
      </c>
      <c r="P11" s="7">
        <f>NETWORKDAYS(N11,O11)</f>
      </c>
      <c r="Q11" s="7" t="s">
        <v>583</v>
      </c>
      <c r="R11" s="11" t="s">
        <v>606</v>
      </c>
      <c r="S11" s="23">
        <v>46339</v>
      </c>
      <c r="T11" s="7" t="s">
        <v>581</v>
      </c>
      <c r="U11" s="7" t="s">
        <v>607</v>
      </c>
    </row>
    <row r="12" spans="1:21" x14ac:dyDescent="0.25">
      <c r="A12" s="7" t="s">
        <v>153</v>
      </c>
      <c r="B12" s="11" t="s">
        <v>602</v>
      </c>
      <c r="C12" s="7" t="s">
        <v>119</v>
      </c>
      <c r="D12" s="11" t="s">
        <v>609</v>
      </c>
      <c r="E12" s="11" t="s">
        <v>604</v>
      </c>
      <c r="F12" s="25" t="s">
        <v>24</v>
      </c>
      <c r="G12" s="7" t="s">
        <v>605</v>
      </c>
      <c r="H12" s="8">
        <v>0.1</v>
      </c>
      <c r="I12" s="8"/>
      <c r="J12" s="8"/>
      <c r="K12" s="8"/>
      <c r="L12" s="8"/>
      <c r="M12" s="8">
        <f>SUM(H12:L12)</f>
      </c>
      <c r="N12" s="23">
        <v>46325</v>
      </c>
      <c r="O12" s="23">
        <v>46325</v>
      </c>
      <c r="P12" s="7">
        <f>NETWORKDAYS(N12,O12)</f>
      </c>
      <c r="Q12" s="7" t="s">
        <v>583</v>
      </c>
      <c r="R12" s="11" t="s">
        <v>606</v>
      </c>
      <c r="S12" s="23">
        <v>46339</v>
      </c>
      <c r="T12" s="7" t="s">
        <v>581</v>
      </c>
      <c r="U12" s="7" t="s">
        <v>607</v>
      </c>
    </row>
    <row r="13" spans="1:21" x14ac:dyDescent="0.25">
      <c r="A13" s="7" t="s">
        <v>156</v>
      </c>
      <c r="B13" s="11" t="s">
        <v>602</v>
      </c>
      <c r="C13" s="7" t="s">
        <v>119</v>
      </c>
      <c r="D13" s="11" t="s">
        <v>610</v>
      </c>
      <c r="E13" s="11" t="s">
        <v>604</v>
      </c>
      <c r="F13" s="25" t="s">
        <v>24</v>
      </c>
      <c r="G13" s="7" t="s">
        <v>605</v>
      </c>
      <c r="H13" s="8">
        <v>0.1</v>
      </c>
      <c r="I13" s="8"/>
      <c r="J13" s="8"/>
      <c r="K13" s="8"/>
      <c r="L13" s="8"/>
      <c r="M13" s="8">
        <f>SUM(H13:L13)</f>
      </c>
      <c r="N13" s="23">
        <v>46325</v>
      </c>
      <c r="O13" s="23">
        <v>46325</v>
      </c>
      <c r="P13" s="7">
        <f>NETWORKDAYS(N13,O13)</f>
      </c>
      <c r="Q13" s="7" t="s">
        <v>583</v>
      </c>
      <c r="R13" s="11" t="s">
        <v>606</v>
      </c>
      <c r="S13" s="23">
        <v>46339</v>
      </c>
      <c r="T13" s="7" t="s">
        <v>581</v>
      </c>
      <c r="U13" s="7" t="s">
        <v>607</v>
      </c>
    </row>
    <row r="14" spans="1:21" x14ac:dyDescent="0.25">
      <c r="A14" s="7" t="s">
        <v>159</v>
      </c>
      <c r="B14" s="11" t="s">
        <v>602</v>
      </c>
      <c r="C14" s="7" t="s">
        <v>119</v>
      </c>
      <c r="D14" s="11" t="s">
        <v>611</v>
      </c>
      <c r="E14" s="11" t="s">
        <v>604</v>
      </c>
      <c r="F14" s="25" t="s">
        <v>24</v>
      </c>
      <c r="G14" s="7" t="s">
        <v>605</v>
      </c>
      <c r="H14" s="8">
        <v>0.1</v>
      </c>
      <c r="I14" s="8"/>
      <c r="J14" s="8"/>
      <c r="K14" s="8"/>
      <c r="L14" s="8"/>
      <c r="M14" s="8">
        <f>SUM(H14:L14)</f>
      </c>
      <c r="N14" s="23">
        <v>46325</v>
      </c>
      <c r="O14" s="23">
        <v>46325</v>
      </c>
      <c r="P14" s="7">
        <f>NETWORKDAYS(N14,O14)</f>
      </c>
      <c r="Q14" s="7" t="s">
        <v>583</v>
      </c>
      <c r="R14" s="11" t="s">
        <v>606</v>
      </c>
      <c r="S14" s="23">
        <v>46339</v>
      </c>
      <c r="T14" s="7" t="s">
        <v>581</v>
      </c>
      <c r="U14" s="7" t="s">
        <v>607</v>
      </c>
    </row>
    <row r="15" spans="1:21" x14ac:dyDescent="0.25">
      <c r="A15" s="7" t="s">
        <v>612</v>
      </c>
      <c r="B15" s="11" t="s">
        <v>602</v>
      </c>
      <c r="C15" s="7" t="s">
        <v>576</v>
      </c>
      <c r="D15" s="11" t="s">
        <v>613</v>
      </c>
      <c r="E15" s="11" t="s">
        <v>614</v>
      </c>
      <c r="F15" s="21" t="s">
        <v>27</v>
      </c>
      <c r="G15" s="7" t="s">
        <v>31</v>
      </c>
      <c r="H15" s="8"/>
      <c r="I15" s="8">
        <v>0.5</v>
      </c>
      <c r="J15" s="8"/>
      <c r="K15" s="8"/>
      <c r="L15" s="8"/>
      <c r="M15" s="8">
        <f>SUM(H15:L15)</f>
      </c>
      <c r="N15" s="23">
        <v>46325</v>
      </c>
      <c r="O15" s="23">
        <v>46325</v>
      </c>
      <c r="P15" s="7">
        <f>NETWORKDAYS(N15,O15)</f>
      </c>
      <c r="Q15" s="7" t="s">
        <v>583</v>
      </c>
      <c r="R15" s="11" t="s">
        <v>615</v>
      </c>
      <c r="S15" s="23">
        <v>46339</v>
      </c>
      <c r="T15" s="7" t="s">
        <v>581</v>
      </c>
      <c r="U15" s="7" t="s">
        <v>616</v>
      </c>
    </row>
    <row r="16" spans="1:21" x14ac:dyDescent="0.25">
      <c r="A16" s="7" t="s">
        <v>617</v>
      </c>
      <c r="B16" s="11" t="s">
        <v>602</v>
      </c>
      <c r="C16" s="7" t="s">
        <v>576</v>
      </c>
      <c r="D16" s="11" t="s">
        <v>618</v>
      </c>
      <c r="E16" s="11" t="s">
        <v>619</v>
      </c>
      <c r="F16" s="25" t="s">
        <v>24</v>
      </c>
      <c r="G16" s="7" t="s">
        <v>620</v>
      </c>
      <c r="H16" s="8">
        <v>0.75</v>
      </c>
      <c r="I16" s="8"/>
      <c r="J16" s="8"/>
      <c r="K16" s="8"/>
      <c r="L16" s="8"/>
      <c r="M16" s="8">
        <f>SUM(H16:L16)</f>
      </c>
      <c r="N16" s="23">
        <v>46328</v>
      </c>
      <c r="O16" s="23">
        <v>46328</v>
      </c>
      <c r="P16" s="7">
        <f>NETWORKDAYS(N16,O16)</f>
      </c>
      <c r="Q16" s="7" t="s">
        <v>583</v>
      </c>
      <c r="R16" s="11" t="s">
        <v>621</v>
      </c>
      <c r="S16" s="23">
        <v>46339</v>
      </c>
      <c r="T16" s="7" t="s">
        <v>581</v>
      </c>
      <c r="U16" s="7" t="s">
        <v>622</v>
      </c>
    </row>
    <row r="17" spans="1:21" x14ac:dyDescent="0.25">
      <c r="A17" s="7" t="s">
        <v>623</v>
      </c>
      <c r="B17" s="11" t="s">
        <v>602</v>
      </c>
      <c r="C17" s="7" t="s">
        <v>576</v>
      </c>
      <c r="D17" s="11" t="s">
        <v>624</v>
      </c>
      <c r="E17" s="11" t="s">
        <v>625</v>
      </c>
      <c r="F17" s="21" t="s">
        <v>27</v>
      </c>
      <c r="G17" s="7" t="s">
        <v>31</v>
      </c>
      <c r="H17" s="8"/>
      <c r="I17" s="8">
        <v>2</v>
      </c>
      <c r="J17" s="8"/>
      <c r="K17" s="8"/>
      <c r="L17" s="8"/>
      <c r="M17" s="8">
        <f>SUM(H17:L17)</f>
      </c>
      <c r="N17" s="23">
        <v>46328</v>
      </c>
      <c r="O17" s="23">
        <v>46330</v>
      </c>
      <c r="P17" s="7">
        <f>NETWORKDAYS(N17,O17)</f>
      </c>
      <c r="Q17" s="7" t="s">
        <v>612</v>
      </c>
      <c r="R17" s="11" t="s">
        <v>626</v>
      </c>
      <c r="S17" s="23">
        <v>46339</v>
      </c>
      <c r="T17" s="7" t="s">
        <v>581</v>
      </c>
      <c r="U17" s="7" t="s">
        <v>616</v>
      </c>
    </row>
    <row r="18" spans="1:21" x14ac:dyDescent="0.25">
      <c r="A18" s="7" t="s">
        <v>627</v>
      </c>
      <c r="B18" s="11" t="s">
        <v>602</v>
      </c>
      <c r="C18" s="7" t="s">
        <v>576</v>
      </c>
      <c r="D18" s="11" t="s">
        <v>628</v>
      </c>
      <c r="E18" s="11" t="s">
        <v>629</v>
      </c>
      <c r="F18" s="25" t="s">
        <v>24</v>
      </c>
      <c r="G18" s="7" t="s">
        <v>620</v>
      </c>
      <c r="H18" s="8">
        <v>1.25</v>
      </c>
      <c r="I18" s="8"/>
      <c r="J18" s="8"/>
      <c r="K18" s="8"/>
      <c r="L18" s="8"/>
      <c r="M18" s="8">
        <f>SUM(H18:L18)</f>
      </c>
      <c r="N18" s="23">
        <v>46329</v>
      </c>
      <c r="O18" s="23">
        <v>46330</v>
      </c>
      <c r="P18" s="7">
        <f>NETWORKDAYS(N18,O18)</f>
      </c>
      <c r="Q18" s="7" t="s">
        <v>617</v>
      </c>
      <c r="R18" s="11" t="s">
        <v>630</v>
      </c>
      <c r="S18" s="23">
        <v>46339</v>
      </c>
      <c r="T18" s="7" t="s">
        <v>581</v>
      </c>
      <c r="U18" s="7" t="s">
        <v>622</v>
      </c>
    </row>
    <row r="19" spans="1:21" x14ac:dyDescent="0.25">
      <c r="A19" s="7" t="s">
        <v>631</v>
      </c>
      <c r="B19" s="11" t="s">
        <v>602</v>
      </c>
      <c r="C19" s="7" t="s">
        <v>576</v>
      </c>
      <c r="D19" s="11" t="s">
        <v>632</v>
      </c>
      <c r="E19" s="11" t="s">
        <v>633</v>
      </c>
      <c r="F19" s="21" t="s">
        <v>27</v>
      </c>
      <c r="G19" s="7" t="s">
        <v>31</v>
      </c>
      <c r="H19" s="8"/>
      <c r="I19" s="8">
        <v>0.75</v>
      </c>
      <c r="J19" s="8"/>
      <c r="K19" s="8"/>
      <c r="L19" s="8"/>
      <c r="M19" s="8">
        <f>SUM(H19:L19)</f>
      </c>
      <c r="N19" s="23">
        <v>46330</v>
      </c>
      <c r="O19" s="23">
        <v>46331</v>
      </c>
      <c r="P19" s="7">
        <f>NETWORKDAYS(N19,O19)</f>
      </c>
      <c r="Q19" s="7" t="s">
        <v>623</v>
      </c>
      <c r="R19" s="11" t="s">
        <v>634</v>
      </c>
      <c r="S19" s="23">
        <v>46339</v>
      </c>
      <c r="T19" s="7" t="s">
        <v>581</v>
      </c>
      <c r="U19" s="7" t="s">
        <v>616</v>
      </c>
    </row>
    <row r="20" spans="1:21" x14ac:dyDescent="0.25">
      <c r="A20" s="7" t="s">
        <v>635</v>
      </c>
      <c r="B20" s="11" t="s">
        <v>602</v>
      </c>
      <c r="C20" s="7" t="s">
        <v>576</v>
      </c>
      <c r="D20" s="11" t="s">
        <v>636</v>
      </c>
      <c r="E20" s="11" t="s">
        <v>637</v>
      </c>
      <c r="F20" s="25" t="s">
        <v>24</v>
      </c>
      <c r="G20" s="7" t="s">
        <v>620</v>
      </c>
      <c r="H20" s="8">
        <v>0.5</v>
      </c>
      <c r="I20" s="8"/>
      <c r="J20" s="8"/>
      <c r="K20" s="8"/>
      <c r="L20" s="8"/>
      <c r="M20" s="8">
        <f>SUM(H20:L20)</f>
      </c>
      <c r="N20" s="23">
        <v>46331</v>
      </c>
      <c r="O20" s="23">
        <v>46331</v>
      </c>
      <c r="P20" s="7">
        <f>NETWORKDAYS(N20,O20)</f>
      </c>
      <c r="Q20" s="7" t="s">
        <v>617</v>
      </c>
      <c r="R20" s="11" t="s">
        <v>638</v>
      </c>
      <c r="S20" s="23">
        <v>46339</v>
      </c>
      <c r="T20" s="7" t="s">
        <v>581</v>
      </c>
      <c r="U20" s="7" t="s">
        <v>622</v>
      </c>
    </row>
    <row r="21" spans="1:21" x14ac:dyDescent="0.25">
      <c r="A21" s="7" t="s">
        <v>118</v>
      </c>
      <c r="B21" s="11" t="s">
        <v>602</v>
      </c>
      <c r="C21" s="7" t="s">
        <v>119</v>
      </c>
      <c r="D21" s="11" t="s">
        <v>639</v>
      </c>
      <c r="E21" s="11" t="s">
        <v>640</v>
      </c>
      <c r="F21" s="25" t="s">
        <v>24</v>
      </c>
      <c r="G21" s="7" t="s">
        <v>605</v>
      </c>
      <c r="H21" s="8">
        <v>0.25</v>
      </c>
      <c r="I21" s="8"/>
      <c r="J21" s="8"/>
      <c r="K21" s="8"/>
      <c r="L21" s="8"/>
      <c r="M21" s="8">
        <f>SUM(H21:L21)</f>
      </c>
      <c r="N21" s="23">
        <v>46331</v>
      </c>
      <c r="O21" s="23">
        <v>46331</v>
      </c>
      <c r="P21" s="7">
        <f>NETWORKDAYS(N21,O21)</f>
      </c>
      <c r="Q21" s="7" t="s">
        <v>617</v>
      </c>
      <c r="R21" s="11" t="s">
        <v>641</v>
      </c>
      <c r="S21" s="23">
        <v>46339</v>
      </c>
      <c r="T21" s="7" t="s">
        <v>581</v>
      </c>
      <c r="U21" s="7" t="s">
        <v>607</v>
      </c>
    </row>
    <row r="22" spans="1:21" x14ac:dyDescent="0.25">
      <c r="A22" s="7" t="s">
        <v>129</v>
      </c>
      <c r="B22" s="11" t="s">
        <v>602</v>
      </c>
      <c r="C22" s="7" t="s">
        <v>119</v>
      </c>
      <c r="D22" s="11" t="s">
        <v>642</v>
      </c>
      <c r="E22" s="11" t="s">
        <v>643</v>
      </c>
      <c r="F22" s="25" t="s">
        <v>24</v>
      </c>
      <c r="G22" s="7" t="s">
        <v>605</v>
      </c>
      <c r="H22" s="8">
        <v>0.25</v>
      </c>
      <c r="I22" s="8"/>
      <c r="J22" s="8"/>
      <c r="K22" s="8"/>
      <c r="L22" s="8"/>
      <c r="M22" s="8">
        <f>SUM(H22:L22)</f>
      </c>
      <c r="N22" s="23">
        <v>46331</v>
      </c>
      <c r="O22" s="23">
        <v>46331</v>
      </c>
      <c r="P22" s="7">
        <f>NETWORKDAYS(N22,O22)</f>
      </c>
      <c r="Q22" s="7" t="s">
        <v>617</v>
      </c>
      <c r="R22" s="11" t="s">
        <v>641</v>
      </c>
      <c r="S22" s="23">
        <v>46339</v>
      </c>
      <c r="T22" s="7" t="s">
        <v>581</v>
      </c>
      <c r="U22" s="7" t="s">
        <v>607</v>
      </c>
    </row>
    <row r="23" spans="1:21" x14ac:dyDescent="0.25">
      <c r="A23" s="7" t="s">
        <v>176</v>
      </c>
      <c r="B23" s="11" t="s">
        <v>602</v>
      </c>
      <c r="C23" s="7" t="s">
        <v>576</v>
      </c>
      <c r="D23" s="11" t="s">
        <v>644</v>
      </c>
      <c r="E23" s="11" t="s">
        <v>645</v>
      </c>
      <c r="F23" s="21" t="s">
        <v>27</v>
      </c>
      <c r="G23" s="7" t="s">
        <v>31</v>
      </c>
      <c r="H23" s="8"/>
      <c r="I23" s="8">
        <v>0.5</v>
      </c>
      <c r="J23" s="8"/>
      <c r="K23" s="8"/>
      <c r="L23" s="8"/>
      <c r="M23" s="8">
        <f>SUM(H23:L23)</f>
      </c>
      <c r="N23" s="23">
        <v>46331</v>
      </c>
      <c r="O23" s="23">
        <v>46331</v>
      </c>
      <c r="P23" s="7">
        <f>NETWORKDAYS(N23,O23)</f>
      </c>
      <c r="Q23" s="7" t="s">
        <v>623</v>
      </c>
      <c r="R23" s="11" t="s">
        <v>646</v>
      </c>
      <c r="S23" s="23">
        <v>46339</v>
      </c>
      <c r="T23" s="7" t="s">
        <v>581</v>
      </c>
      <c r="U23" s="7" t="s">
        <v>616</v>
      </c>
    </row>
    <row r="24" spans="1:21" x14ac:dyDescent="0.25">
      <c r="A24" s="7" t="s">
        <v>133</v>
      </c>
      <c r="B24" s="11" t="s">
        <v>602</v>
      </c>
      <c r="C24" s="7" t="s">
        <v>119</v>
      </c>
      <c r="D24" s="11" t="s">
        <v>647</v>
      </c>
      <c r="E24" s="11" t="s">
        <v>640</v>
      </c>
      <c r="F24" s="25" t="s">
        <v>24</v>
      </c>
      <c r="G24" s="7" t="s">
        <v>605</v>
      </c>
      <c r="H24" s="8">
        <v>0.1</v>
      </c>
      <c r="I24" s="8"/>
      <c r="J24" s="8"/>
      <c r="K24" s="8"/>
      <c r="L24" s="8"/>
      <c r="M24" s="8">
        <f>SUM(H24:L24)</f>
      </c>
      <c r="N24" s="23">
        <v>46332</v>
      </c>
      <c r="O24" s="23">
        <v>46332</v>
      </c>
      <c r="P24" s="7">
        <f>NETWORKDAYS(N24,O24)</f>
      </c>
      <c r="Q24" s="7" t="s">
        <v>617</v>
      </c>
      <c r="R24" s="11" t="s">
        <v>606</v>
      </c>
      <c r="S24" s="23">
        <v>46339</v>
      </c>
      <c r="T24" s="7" t="s">
        <v>581</v>
      </c>
      <c r="U24" s="7" t="s">
        <v>607</v>
      </c>
    </row>
    <row r="25" spans="1:21" x14ac:dyDescent="0.25">
      <c r="A25" s="7" t="s">
        <v>145</v>
      </c>
      <c r="B25" s="11" t="s">
        <v>602</v>
      </c>
      <c r="C25" s="7" t="s">
        <v>119</v>
      </c>
      <c r="D25" s="11" t="s">
        <v>648</v>
      </c>
      <c r="E25" s="11" t="s">
        <v>640</v>
      </c>
      <c r="F25" s="25" t="s">
        <v>24</v>
      </c>
      <c r="G25" s="7" t="s">
        <v>605</v>
      </c>
      <c r="H25" s="8">
        <v>0.25</v>
      </c>
      <c r="I25" s="8"/>
      <c r="J25" s="8"/>
      <c r="K25" s="8"/>
      <c r="L25" s="8"/>
      <c r="M25" s="8">
        <f>SUM(H25:L25)</f>
      </c>
      <c r="N25" s="23">
        <v>46332</v>
      </c>
      <c r="O25" s="23">
        <v>46332</v>
      </c>
      <c r="P25" s="7">
        <f>NETWORKDAYS(N25,O25)</f>
      </c>
      <c r="Q25" s="7" t="s">
        <v>617</v>
      </c>
      <c r="R25" s="11" t="s">
        <v>641</v>
      </c>
      <c r="S25" s="23">
        <v>46339</v>
      </c>
      <c r="T25" s="7" t="s">
        <v>581</v>
      </c>
      <c r="U25" s="7" t="s">
        <v>607</v>
      </c>
    </row>
    <row r="26" spans="1:21" x14ac:dyDescent="0.25">
      <c r="A26" s="7" t="s">
        <v>164</v>
      </c>
      <c r="B26" s="11" t="s">
        <v>602</v>
      </c>
      <c r="C26" s="7" t="s">
        <v>119</v>
      </c>
      <c r="D26" s="11" t="s">
        <v>649</v>
      </c>
      <c r="E26" s="11" t="s">
        <v>604</v>
      </c>
      <c r="F26" s="25" t="s">
        <v>24</v>
      </c>
      <c r="G26" s="7" t="s">
        <v>605</v>
      </c>
      <c r="H26" s="8">
        <v>0.1</v>
      </c>
      <c r="I26" s="8"/>
      <c r="J26" s="8"/>
      <c r="K26" s="8"/>
      <c r="L26" s="8"/>
      <c r="M26" s="8">
        <f>SUM(H26:L26)</f>
      </c>
      <c r="N26" s="23">
        <v>46332</v>
      </c>
      <c r="O26" s="23">
        <v>46332</v>
      </c>
      <c r="P26" s="7">
        <f>NETWORKDAYS(N26,O26)</f>
      </c>
      <c r="Q26" s="7" t="s">
        <v>583</v>
      </c>
      <c r="R26" s="11" t="s">
        <v>606</v>
      </c>
      <c r="S26" s="23">
        <v>46339</v>
      </c>
      <c r="T26" s="7" t="s">
        <v>581</v>
      </c>
      <c r="U26" s="7" t="s">
        <v>607</v>
      </c>
    </row>
    <row r="27" spans="1:21" x14ac:dyDescent="0.25">
      <c r="A27" s="7" t="s">
        <v>168</v>
      </c>
      <c r="B27" s="11" t="s">
        <v>602</v>
      </c>
      <c r="C27" s="7" t="s">
        <v>119</v>
      </c>
      <c r="D27" s="11" t="s">
        <v>650</v>
      </c>
      <c r="E27" s="11" t="s">
        <v>604</v>
      </c>
      <c r="F27" s="25" t="s">
        <v>24</v>
      </c>
      <c r="G27" s="7" t="s">
        <v>605</v>
      </c>
      <c r="H27" s="8">
        <v>0.1</v>
      </c>
      <c r="I27" s="8"/>
      <c r="J27" s="8"/>
      <c r="K27" s="8"/>
      <c r="L27" s="8"/>
      <c r="M27" s="8">
        <f>SUM(H27:L27)</f>
      </c>
      <c r="N27" s="23">
        <v>46332</v>
      </c>
      <c r="O27" s="23">
        <v>46332</v>
      </c>
      <c r="P27" s="7">
        <f>NETWORKDAYS(N27,O27)</f>
      </c>
      <c r="Q27" s="7" t="s">
        <v>583</v>
      </c>
      <c r="R27" s="11" t="s">
        <v>606</v>
      </c>
      <c r="S27" s="23">
        <v>46339</v>
      </c>
      <c r="T27" s="7" t="s">
        <v>581</v>
      </c>
      <c r="U27" s="7" t="s">
        <v>607</v>
      </c>
    </row>
    <row r="28" spans="1:21" x14ac:dyDescent="0.25">
      <c r="A28" s="7" t="s">
        <v>171</v>
      </c>
      <c r="B28" s="11" t="s">
        <v>602</v>
      </c>
      <c r="C28" s="7" t="s">
        <v>119</v>
      </c>
      <c r="D28" s="11" t="s">
        <v>651</v>
      </c>
      <c r="E28" s="11" t="s">
        <v>643</v>
      </c>
      <c r="F28" s="25" t="s">
        <v>24</v>
      </c>
      <c r="G28" s="7" t="s">
        <v>605</v>
      </c>
      <c r="H28" s="8">
        <v>0.25</v>
      </c>
      <c r="I28" s="8"/>
      <c r="J28" s="8"/>
      <c r="K28" s="8"/>
      <c r="L28" s="8"/>
      <c r="M28" s="8">
        <f>SUM(H28:L28)</f>
      </c>
      <c r="N28" s="23">
        <v>46339</v>
      </c>
      <c r="O28" s="23">
        <v>46339</v>
      </c>
      <c r="P28" s="7">
        <f>NETWORKDAYS(N28,O28)</f>
      </c>
      <c r="Q28" s="7" t="s">
        <v>176</v>
      </c>
      <c r="R28" s="11" t="s">
        <v>606</v>
      </c>
      <c r="S28" s="23">
        <v>46346</v>
      </c>
      <c r="T28" s="7" t="s">
        <v>581</v>
      </c>
      <c r="U28" s="7" t="s">
        <v>607</v>
      </c>
    </row>
    <row r="29" spans="1:21" x14ac:dyDescent="0.25">
      <c r="A29" s="7" t="s">
        <v>177</v>
      </c>
      <c r="B29" s="11" t="s">
        <v>602</v>
      </c>
      <c r="C29" s="7" t="s">
        <v>119</v>
      </c>
      <c r="D29" s="11" t="s">
        <v>652</v>
      </c>
      <c r="E29" s="11" t="s">
        <v>643</v>
      </c>
      <c r="F29" s="25" t="s">
        <v>24</v>
      </c>
      <c r="G29" s="7" t="s">
        <v>605</v>
      </c>
      <c r="H29" s="8">
        <v>0.25</v>
      </c>
      <c r="I29" s="8"/>
      <c r="J29" s="8"/>
      <c r="K29" s="8"/>
      <c r="L29" s="8"/>
      <c r="M29" s="8">
        <f>SUM(H29:L29)</f>
      </c>
      <c r="N29" s="23">
        <v>46339</v>
      </c>
      <c r="O29" s="23">
        <v>46342</v>
      </c>
      <c r="P29" s="7">
        <f>NETWORKDAYS(N29,O29)</f>
      </c>
      <c r="Q29" s="7" t="s">
        <v>176</v>
      </c>
      <c r="R29" s="11" t="s">
        <v>606</v>
      </c>
      <c r="S29" s="23">
        <v>46346</v>
      </c>
      <c r="T29" s="7" t="s">
        <v>581</v>
      </c>
      <c r="U29" s="7" t="s">
        <v>607</v>
      </c>
    </row>
    <row r="30" spans="1:21" x14ac:dyDescent="0.25">
      <c r="A30" s="7" t="s">
        <v>653</v>
      </c>
      <c r="B30" s="11" t="s">
        <v>602</v>
      </c>
      <c r="C30" s="7" t="s">
        <v>576</v>
      </c>
      <c r="D30" s="11" t="s">
        <v>654</v>
      </c>
      <c r="E30" s="11" t="s">
        <v>655</v>
      </c>
      <c r="F30" s="21" t="s">
        <v>27</v>
      </c>
      <c r="G30" s="7" t="s">
        <v>31</v>
      </c>
      <c r="H30" s="8"/>
      <c r="I30" s="8">
        <v>1</v>
      </c>
      <c r="J30" s="8"/>
      <c r="K30" s="8"/>
      <c r="L30" s="8"/>
      <c r="M30" s="8">
        <f>SUM(H30:L30)</f>
      </c>
      <c r="N30" s="23">
        <v>46344</v>
      </c>
      <c r="O30" s="23">
        <v>46345</v>
      </c>
      <c r="P30" s="7">
        <f>NETWORKDAYS(N30,O30)</f>
      </c>
      <c r="Q30" s="7" t="s">
        <v>623</v>
      </c>
      <c r="R30" s="11" t="s">
        <v>656</v>
      </c>
      <c r="S30" s="23">
        <v>46353</v>
      </c>
      <c r="T30" s="7" t="s">
        <v>581</v>
      </c>
      <c r="U30" s="7" t="s">
        <v>616</v>
      </c>
    </row>
    <row r="31" spans="1:21" x14ac:dyDescent="0.25">
      <c r="A31" s="7" t="s">
        <v>187</v>
      </c>
      <c r="B31" s="11" t="s">
        <v>657</v>
      </c>
      <c r="C31" s="7" t="s">
        <v>181</v>
      </c>
      <c r="D31" s="11" t="s">
        <v>658</v>
      </c>
      <c r="E31" s="11" t="s">
        <v>645</v>
      </c>
      <c r="F31" s="21" t="s">
        <v>27</v>
      </c>
      <c r="G31" s="7" t="s">
        <v>31</v>
      </c>
      <c r="H31" s="8"/>
      <c r="I31" s="8">
        <v>1</v>
      </c>
      <c r="J31" s="8"/>
      <c r="K31" s="8"/>
      <c r="L31" s="8"/>
      <c r="M31" s="8">
        <f>SUM(H31:L31)</f>
      </c>
      <c r="N31" s="23">
        <v>46331</v>
      </c>
      <c r="O31" s="23">
        <v>46332</v>
      </c>
      <c r="P31" s="7">
        <f>NETWORKDAYS(N31,O31)</f>
      </c>
      <c r="Q31" s="7" t="s">
        <v>587</v>
      </c>
      <c r="R31" s="11" t="s">
        <v>659</v>
      </c>
      <c r="S31" s="23">
        <v>46339</v>
      </c>
      <c r="T31" s="7" t="s">
        <v>581</v>
      </c>
      <c r="U31" s="7" t="s">
        <v>616</v>
      </c>
    </row>
    <row r="32" spans="1:21" x14ac:dyDescent="0.25">
      <c r="A32" s="7" t="s">
        <v>180</v>
      </c>
      <c r="B32" s="11" t="s">
        <v>657</v>
      </c>
      <c r="C32" s="7" t="s">
        <v>181</v>
      </c>
      <c r="D32" s="11" t="s">
        <v>660</v>
      </c>
      <c r="E32" s="11" t="s">
        <v>640</v>
      </c>
      <c r="F32" s="25" t="s">
        <v>24</v>
      </c>
      <c r="G32" s="7" t="s">
        <v>605</v>
      </c>
      <c r="H32" s="8">
        <v>0.5</v>
      </c>
      <c r="I32" s="8"/>
      <c r="J32" s="8"/>
      <c r="K32" s="8"/>
      <c r="L32" s="8"/>
      <c r="M32" s="8">
        <f>SUM(H32:L32)</f>
      </c>
      <c r="N32" s="23">
        <v>46332</v>
      </c>
      <c r="O32" s="23">
        <v>46335</v>
      </c>
      <c r="P32" s="7">
        <f>NETWORKDAYS(N32,O32)</f>
      </c>
      <c r="Q32" s="7" t="s">
        <v>187</v>
      </c>
      <c r="R32" s="11" t="s">
        <v>641</v>
      </c>
      <c r="S32" s="23">
        <v>46339</v>
      </c>
      <c r="T32" s="7" t="s">
        <v>581</v>
      </c>
      <c r="U32" s="7" t="s">
        <v>607</v>
      </c>
    </row>
    <row r="33" spans="1:21" x14ac:dyDescent="0.25">
      <c r="A33" s="7" t="s">
        <v>188</v>
      </c>
      <c r="B33" s="11" t="s">
        <v>657</v>
      </c>
      <c r="C33" s="7" t="s">
        <v>181</v>
      </c>
      <c r="D33" s="11" t="s">
        <v>661</v>
      </c>
      <c r="E33" s="11" t="s">
        <v>640</v>
      </c>
      <c r="F33" s="25" t="s">
        <v>24</v>
      </c>
      <c r="G33" s="7" t="s">
        <v>605</v>
      </c>
      <c r="H33" s="8">
        <v>0.25</v>
      </c>
      <c r="I33" s="8"/>
      <c r="J33" s="8"/>
      <c r="K33" s="8"/>
      <c r="L33" s="8"/>
      <c r="M33" s="8">
        <f>SUM(H33:L33)</f>
      </c>
      <c r="N33" s="23">
        <v>46335</v>
      </c>
      <c r="O33" s="23">
        <v>46335</v>
      </c>
      <c r="P33" s="7">
        <f>NETWORKDAYS(N33,O33)</f>
      </c>
      <c r="Q33" s="7" t="s">
        <v>617</v>
      </c>
      <c r="R33" s="11" t="s">
        <v>606</v>
      </c>
      <c r="S33" s="23">
        <v>46339</v>
      </c>
      <c r="T33" s="7" t="s">
        <v>581</v>
      </c>
      <c r="U33" s="7" t="s">
        <v>607</v>
      </c>
    </row>
    <row r="34" spans="1:21" x14ac:dyDescent="0.25">
      <c r="A34" s="7" t="s">
        <v>192</v>
      </c>
      <c r="B34" s="11" t="s">
        <v>657</v>
      </c>
      <c r="C34" s="7" t="s">
        <v>181</v>
      </c>
      <c r="D34" s="11" t="s">
        <v>662</v>
      </c>
      <c r="E34" s="11" t="s">
        <v>604</v>
      </c>
      <c r="F34" s="25" t="s">
        <v>24</v>
      </c>
      <c r="G34" s="7" t="s">
        <v>605</v>
      </c>
      <c r="H34" s="8">
        <v>0.05</v>
      </c>
      <c r="I34" s="8"/>
      <c r="J34" s="8"/>
      <c r="K34" s="8"/>
      <c r="L34" s="8"/>
      <c r="M34" s="8">
        <f>SUM(H34:L34)</f>
      </c>
      <c r="N34" s="23">
        <v>46335</v>
      </c>
      <c r="O34" s="23">
        <v>46335</v>
      </c>
      <c r="P34" s="7">
        <f>NETWORKDAYS(N34,O34)</f>
      </c>
      <c r="Q34" s="7" t="s">
        <v>583</v>
      </c>
      <c r="R34" s="11" t="s">
        <v>606</v>
      </c>
      <c r="S34" s="23">
        <v>46339</v>
      </c>
      <c r="T34" s="7" t="s">
        <v>581</v>
      </c>
      <c r="U34" s="7" t="s">
        <v>607</v>
      </c>
    </row>
    <row r="35" spans="1:21" x14ac:dyDescent="0.25">
      <c r="A35" s="7" t="s">
        <v>195</v>
      </c>
      <c r="B35" s="11" t="s">
        <v>657</v>
      </c>
      <c r="C35" s="7" t="s">
        <v>181</v>
      </c>
      <c r="D35" s="11" t="s">
        <v>663</v>
      </c>
      <c r="E35" s="11" t="s">
        <v>640</v>
      </c>
      <c r="F35" s="25" t="s">
        <v>24</v>
      </c>
      <c r="G35" s="7" t="s">
        <v>605</v>
      </c>
      <c r="H35" s="8">
        <v>0.25</v>
      </c>
      <c r="I35" s="8"/>
      <c r="J35" s="8"/>
      <c r="K35" s="8"/>
      <c r="L35" s="8"/>
      <c r="M35" s="8">
        <f>SUM(H35:L35)</f>
      </c>
      <c r="N35" s="23">
        <v>46335</v>
      </c>
      <c r="O35" s="23">
        <v>46335</v>
      </c>
      <c r="P35" s="7">
        <f>NETWORKDAYS(N35,O35)</f>
      </c>
      <c r="Q35" s="7" t="s">
        <v>187</v>
      </c>
      <c r="R35" s="11" t="s">
        <v>641</v>
      </c>
      <c r="S35" s="23">
        <v>46339</v>
      </c>
      <c r="T35" s="7" t="s">
        <v>581</v>
      </c>
      <c r="U35" s="7" t="s">
        <v>607</v>
      </c>
    </row>
    <row r="36" spans="1:21" x14ac:dyDescent="0.25">
      <c r="A36" s="7" t="s">
        <v>198</v>
      </c>
      <c r="B36" s="11" t="s">
        <v>657</v>
      </c>
      <c r="C36" s="7" t="s">
        <v>181</v>
      </c>
      <c r="D36" s="11" t="s">
        <v>664</v>
      </c>
      <c r="E36" s="11" t="s">
        <v>640</v>
      </c>
      <c r="F36" s="25" t="s">
        <v>24</v>
      </c>
      <c r="G36" s="7" t="s">
        <v>605</v>
      </c>
      <c r="H36" s="8">
        <v>0.1</v>
      </c>
      <c r="I36" s="8"/>
      <c r="J36" s="8"/>
      <c r="K36" s="8"/>
      <c r="L36" s="8"/>
      <c r="M36" s="8">
        <f>SUM(H36:L36)</f>
      </c>
      <c r="N36" s="23">
        <v>46335</v>
      </c>
      <c r="O36" s="23">
        <v>46335</v>
      </c>
      <c r="P36" s="7">
        <f>NETWORKDAYS(N36,O36)</f>
      </c>
      <c r="Q36" s="7" t="s">
        <v>617</v>
      </c>
      <c r="R36" s="11" t="s">
        <v>606</v>
      </c>
      <c r="S36" s="23">
        <v>46339</v>
      </c>
      <c r="T36" s="7" t="s">
        <v>581</v>
      </c>
      <c r="U36" s="7" t="s">
        <v>607</v>
      </c>
    </row>
    <row r="37" spans="1:21" x14ac:dyDescent="0.25">
      <c r="A37" s="7" t="s">
        <v>201</v>
      </c>
      <c r="B37" s="11" t="s">
        <v>657</v>
      </c>
      <c r="C37" s="7" t="s">
        <v>181</v>
      </c>
      <c r="D37" s="11" t="s">
        <v>665</v>
      </c>
      <c r="E37" s="11" t="s">
        <v>604</v>
      </c>
      <c r="F37" s="25" t="s">
        <v>24</v>
      </c>
      <c r="G37" s="7" t="s">
        <v>605</v>
      </c>
      <c r="H37" s="8">
        <v>0.05</v>
      </c>
      <c r="I37" s="8"/>
      <c r="J37" s="8"/>
      <c r="K37" s="8"/>
      <c r="L37" s="8"/>
      <c r="M37" s="8">
        <f>SUM(H37:L37)</f>
      </c>
      <c r="N37" s="23">
        <v>46335</v>
      </c>
      <c r="O37" s="23">
        <v>46335</v>
      </c>
      <c r="P37" s="7">
        <f>NETWORKDAYS(N37,O37)</f>
      </c>
      <c r="Q37" s="7" t="s">
        <v>583</v>
      </c>
      <c r="R37" s="11" t="s">
        <v>606</v>
      </c>
      <c r="S37" s="23">
        <v>46339</v>
      </c>
      <c r="T37" s="7" t="s">
        <v>581</v>
      </c>
      <c r="U37" s="7" t="s">
        <v>607</v>
      </c>
    </row>
    <row r="38" spans="1:21" x14ac:dyDescent="0.25">
      <c r="A38" s="7" t="s">
        <v>204</v>
      </c>
      <c r="B38" s="11" t="s">
        <v>657</v>
      </c>
      <c r="C38" s="7" t="s">
        <v>181</v>
      </c>
      <c r="D38" s="11" t="s">
        <v>666</v>
      </c>
      <c r="E38" s="11" t="s">
        <v>604</v>
      </c>
      <c r="F38" s="25" t="s">
        <v>24</v>
      </c>
      <c r="G38" s="7" t="s">
        <v>605</v>
      </c>
      <c r="H38" s="8">
        <v>0.1</v>
      </c>
      <c r="I38" s="8"/>
      <c r="J38" s="8"/>
      <c r="K38" s="8"/>
      <c r="L38" s="8"/>
      <c r="M38" s="8">
        <f>SUM(H38:L38)</f>
      </c>
      <c r="N38" s="23">
        <v>46335</v>
      </c>
      <c r="O38" s="23">
        <v>46335</v>
      </c>
      <c r="P38" s="7">
        <f>NETWORKDAYS(N38,O38)</f>
      </c>
      <c r="Q38" s="7" t="s">
        <v>583</v>
      </c>
      <c r="R38" s="11" t="s">
        <v>641</v>
      </c>
      <c r="S38" s="23">
        <v>46339</v>
      </c>
      <c r="T38" s="7" t="s">
        <v>581</v>
      </c>
      <c r="U38" s="7" t="s">
        <v>607</v>
      </c>
    </row>
    <row r="39" spans="1:21" x14ac:dyDescent="0.25">
      <c r="A39" s="7" t="s">
        <v>209</v>
      </c>
      <c r="B39" s="11" t="s">
        <v>657</v>
      </c>
      <c r="C39" s="7" t="s">
        <v>181</v>
      </c>
      <c r="D39" s="11" t="s">
        <v>667</v>
      </c>
      <c r="E39" s="11" t="s">
        <v>604</v>
      </c>
      <c r="F39" s="25" t="s">
        <v>24</v>
      </c>
      <c r="G39" s="7" t="s">
        <v>605</v>
      </c>
      <c r="H39" s="8">
        <v>0.05</v>
      </c>
      <c r="I39" s="8"/>
      <c r="J39" s="8"/>
      <c r="K39" s="8"/>
      <c r="L39" s="8"/>
      <c r="M39" s="8">
        <f>SUM(H39:L39)</f>
      </c>
      <c r="N39" s="23">
        <v>46335</v>
      </c>
      <c r="O39" s="23">
        <v>46335</v>
      </c>
      <c r="P39" s="7">
        <f>NETWORKDAYS(N39,O39)</f>
      </c>
      <c r="Q39" s="7" t="s">
        <v>583</v>
      </c>
      <c r="R39" s="11" t="s">
        <v>606</v>
      </c>
      <c r="S39" s="23">
        <v>46339</v>
      </c>
      <c r="T39" s="7" t="s">
        <v>581</v>
      </c>
      <c r="U39" s="7" t="s">
        <v>607</v>
      </c>
    </row>
    <row r="40" spans="1:21" x14ac:dyDescent="0.25">
      <c r="A40" s="7" t="s">
        <v>211</v>
      </c>
      <c r="B40" s="11" t="s">
        <v>657</v>
      </c>
      <c r="C40" s="7" t="s">
        <v>181</v>
      </c>
      <c r="D40" s="11" t="s">
        <v>668</v>
      </c>
      <c r="E40" s="11" t="s">
        <v>604</v>
      </c>
      <c r="F40" s="25" t="s">
        <v>24</v>
      </c>
      <c r="G40" s="7" t="s">
        <v>605</v>
      </c>
      <c r="H40" s="8">
        <v>0.1</v>
      </c>
      <c r="I40" s="8"/>
      <c r="J40" s="8"/>
      <c r="K40" s="8"/>
      <c r="L40" s="8"/>
      <c r="M40" s="8">
        <f>SUM(H40:L40)</f>
      </c>
      <c r="N40" s="23">
        <v>46335</v>
      </c>
      <c r="O40" s="23">
        <v>46335</v>
      </c>
      <c r="P40" s="7">
        <f>NETWORKDAYS(N40,O40)</f>
      </c>
      <c r="Q40" s="7" t="s">
        <v>583</v>
      </c>
      <c r="R40" s="11" t="s">
        <v>641</v>
      </c>
      <c r="S40" s="23">
        <v>46339</v>
      </c>
      <c r="T40" s="7" t="s">
        <v>581</v>
      </c>
      <c r="U40" s="7" t="s">
        <v>607</v>
      </c>
    </row>
    <row r="41" spans="1:21" x14ac:dyDescent="0.25">
      <c r="A41" s="7" t="s">
        <v>215</v>
      </c>
      <c r="B41" s="11" t="s">
        <v>657</v>
      </c>
      <c r="C41" s="7" t="s">
        <v>181</v>
      </c>
      <c r="D41" s="11" t="s">
        <v>669</v>
      </c>
      <c r="E41" s="11" t="s">
        <v>604</v>
      </c>
      <c r="F41" s="25" t="s">
        <v>24</v>
      </c>
      <c r="G41" s="7" t="s">
        <v>605</v>
      </c>
      <c r="H41" s="8">
        <v>0.05</v>
      </c>
      <c r="I41" s="8"/>
      <c r="J41" s="8"/>
      <c r="K41" s="8"/>
      <c r="L41" s="8"/>
      <c r="M41" s="8">
        <f>SUM(H41:L41)</f>
      </c>
      <c r="N41" s="23">
        <v>46336</v>
      </c>
      <c r="O41" s="23">
        <v>46336</v>
      </c>
      <c r="P41" s="7">
        <f>NETWORKDAYS(N41,O41)</f>
      </c>
      <c r="Q41" s="7" t="s">
        <v>583</v>
      </c>
      <c r="R41" s="11" t="s">
        <v>606</v>
      </c>
      <c r="S41" s="23">
        <v>46339</v>
      </c>
      <c r="T41" s="7" t="s">
        <v>581</v>
      </c>
      <c r="U41" s="7" t="s">
        <v>607</v>
      </c>
    </row>
    <row r="42" spans="1:21" x14ac:dyDescent="0.25">
      <c r="A42" s="7" t="s">
        <v>217</v>
      </c>
      <c r="B42" s="11" t="s">
        <v>657</v>
      </c>
      <c r="C42" s="7" t="s">
        <v>181</v>
      </c>
      <c r="D42" s="11" t="s">
        <v>670</v>
      </c>
      <c r="E42" s="11" t="s">
        <v>643</v>
      </c>
      <c r="F42" s="25" t="s">
        <v>24</v>
      </c>
      <c r="G42" s="7" t="s">
        <v>605</v>
      </c>
      <c r="H42" s="8">
        <v>0.25</v>
      </c>
      <c r="I42" s="8"/>
      <c r="J42" s="8"/>
      <c r="K42" s="8"/>
      <c r="L42" s="8"/>
      <c r="M42" s="8">
        <f>SUM(H42:L42)</f>
      </c>
      <c r="N42" s="23">
        <v>46336</v>
      </c>
      <c r="O42" s="23">
        <v>46336</v>
      </c>
      <c r="P42" s="7">
        <f>NETWORKDAYS(N42,O42)</f>
      </c>
      <c r="Q42" s="7" t="s">
        <v>617</v>
      </c>
      <c r="R42" s="11" t="s">
        <v>641</v>
      </c>
      <c r="S42" s="23">
        <v>46339</v>
      </c>
      <c r="T42" s="7" t="s">
        <v>581</v>
      </c>
      <c r="U42" s="7" t="s">
        <v>607</v>
      </c>
    </row>
    <row r="43" spans="1:21" x14ac:dyDescent="0.25">
      <c r="A43" s="7" t="s">
        <v>221</v>
      </c>
      <c r="B43" s="11" t="s">
        <v>657</v>
      </c>
      <c r="C43" s="7" t="s">
        <v>181</v>
      </c>
      <c r="D43" s="11" t="s">
        <v>671</v>
      </c>
      <c r="E43" s="11" t="s">
        <v>643</v>
      </c>
      <c r="F43" s="25" t="s">
        <v>24</v>
      </c>
      <c r="G43" s="7" t="s">
        <v>605</v>
      </c>
      <c r="H43" s="8">
        <v>0.25</v>
      </c>
      <c r="I43" s="8"/>
      <c r="J43" s="8"/>
      <c r="K43" s="8"/>
      <c r="L43" s="8"/>
      <c r="M43" s="8">
        <f>SUM(H43:L43)</f>
      </c>
      <c r="N43" s="23">
        <v>46336</v>
      </c>
      <c r="O43" s="23">
        <v>46336</v>
      </c>
      <c r="P43" s="7">
        <f>NETWORKDAYS(N43,O43)</f>
      </c>
      <c r="Q43" s="7" t="s">
        <v>617</v>
      </c>
      <c r="R43" s="11" t="s">
        <v>606</v>
      </c>
      <c r="S43" s="23">
        <v>46339</v>
      </c>
      <c r="T43" s="7" t="s">
        <v>581</v>
      </c>
      <c r="U43" s="7" t="s">
        <v>607</v>
      </c>
    </row>
    <row r="44" spans="1:21" x14ac:dyDescent="0.25">
      <c r="A44" s="7" t="s">
        <v>223</v>
      </c>
      <c r="B44" s="11" t="s">
        <v>657</v>
      </c>
      <c r="C44" s="7" t="s">
        <v>181</v>
      </c>
      <c r="D44" s="11" t="s">
        <v>672</v>
      </c>
      <c r="E44" s="11" t="s">
        <v>604</v>
      </c>
      <c r="F44" s="25" t="s">
        <v>24</v>
      </c>
      <c r="G44" s="7" t="s">
        <v>605</v>
      </c>
      <c r="H44" s="8">
        <v>0.1</v>
      </c>
      <c r="I44" s="8"/>
      <c r="J44" s="8"/>
      <c r="K44" s="8"/>
      <c r="L44" s="8"/>
      <c r="M44" s="8">
        <f>SUM(H44:L44)</f>
      </c>
      <c r="N44" s="23">
        <v>46336</v>
      </c>
      <c r="O44" s="23">
        <v>46336</v>
      </c>
      <c r="P44" s="7">
        <f>NETWORKDAYS(N44,O44)</f>
      </c>
      <c r="Q44" s="7" t="s">
        <v>583</v>
      </c>
      <c r="R44" s="11" t="s">
        <v>641</v>
      </c>
      <c r="S44" s="23">
        <v>46339</v>
      </c>
      <c r="T44" s="7" t="s">
        <v>581</v>
      </c>
      <c r="U44" s="7" t="s">
        <v>607</v>
      </c>
    </row>
    <row r="45" spans="1:21" x14ac:dyDescent="0.25">
      <c r="A45" s="7" t="s">
        <v>227</v>
      </c>
      <c r="B45" s="11" t="s">
        <v>657</v>
      </c>
      <c r="C45" s="7" t="s">
        <v>181</v>
      </c>
      <c r="D45" s="11" t="s">
        <v>673</v>
      </c>
      <c r="E45" s="11" t="s">
        <v>604</v>
      </c>
      <c r="F45" s="25" t="s">
        <v>24</v>
      </c>
      <c r="G45" s="7" t="s">
        <v>605</v>
      </c>
      <c r="H45" s="8">
        <v>0.05</v>
      </c>
      <c r="I45" s="8"/>
      <c r="J45" s="8"/>
      <c r="K45" s="8"/>
      <c r="L45" s="8"/>
      <c r="M45" s="8">
        <f>SUM(H45:L45)</f>
      </c>
      <c r="N45" s="23">
        <v>46336</v>
      </c>
      <c r="O45" s="23">
        <v>46336</v>
      </c>
      <c r="P45" s="7">
        <f>NETWORKDAYS(N45,O45)</f>
      </c>
      <c r="Q45" s="7" t="s">
        <v>583</v>
      </c>
      <c r="R45" s="11" t="s">
        <v>606</v>
      </c>
      <c r="S45" s="23">
        <v>46339</v>
      </c>
      <c r="T45" s="7" t="s">
        <v>581</v>
      </c>
      <c r="U45" s="7" t="s">
        <v>607</v>
      </c>
    </row>
    <row r="46" spans="1:21" x14ac:dyDescent="0.25">
      <c r="A46" s="7" t="s">
        <v>229</v>
      </c>
      <c r="B46" s="11" t="s">
        <v>657</v>
      </c>
      <c r="C46" s="7" t="s">
        <v>181</v>
      </c>
      <c r="D46" s="11" t="s">
        <v>674</v>
      </c>
      <c r="E46" s="11" t="s">
        <v>604</v>
      </c>
      <c r="F46" s="25" t="s">
        <v>24</v>
      </c>
      <c r="G46" s="7" t="s">
        <v>605</v>
      </c>
      <c r="H46" s="8">
        <v>0.1</v>
      </c>
      <c r="I46" s="8"/>
      <c r="J46" s="8"/>
      <c r="K46" s="8"/>
      <c r="L46" s="8"/>
      <c r="M46" s="8">
        <f>SUM(H46:L46)</f>
      </c>
      <c r="N46" s="23">
        <v>46336</v>
      </c>
      <c r="O46" s="23">
        <v>46336</v>
      </c>
      <c r="P46" s="7">
        <f>NETWORKDAYS(N46,O46)</f>
      </c>
      <c r="Q46" s="7" t="s">
        <v>583</v>
      </c>
      <c r="R46" s="11" t="s">
        <v>641</v>
      </c>
      <c r="S46" s="23">
        <v>46339</v>
      </c>
      <c r="T46" s="7" t="s">
        <v>581</v>
      </c>
      <c r="U46" s="7" t="s">
        <v>607</v>
      </c>
    </row>
    <row r="47" spans="1:21" x14ac:dyDescent="0.25">
      <c r="A47" s="7" t="s">
        <v>233</v>
      </c>
      <c r="B47" s="11" t="s">
        <v>657</v>
      </c>
      <c r="C47" s="7" t="s">
        <v>181</v>
      </c>
      <c r="D47" s="11" t="s">
        <v>675</v>
      </c>
      <c r="E47" s="11" t="s">
        <v>604</v>
      </c>
      <c r="F47" s="25" t="s">
        <v>24</v>
      </c>
      <c r="G47" s="7" t="s">
        <v>605</v>
      </c>
      <c r="H47" s="8">
        <v>0.05</v>
      </c>
      <c r="I47" s="8"/>
      <c r="J47" s="8"/>
      <c r="K47" s="8"/>
      <c r="L47" s="8"/>
      <c r="M47" s="8">
        <f>SUM(H47:L47)</f>
      </c>
      <c r="N47" s="23">
        <v>46336</v>
      </c>
      <c r="O47" s="23">
        <v>46336</v>
      </c>
      <c r="P47" s="7">
        <f>NETWORKDAYS(N47,O47)</f>
      </c>
      <c r="Q47" s="7" t="s">
        <v>583</v>
      </c>
      <c r="R47" s="11" t="s">
        <v>606</v>
      </c>
      <c r="S47" s="23">
        <v>46339</v>
      </c>
      <c r="T47" s="7" t="s">
        <v>581</v>
      </c>
      <c r="U47" s="7" t="s">
        <v>607</v>
      </c>
    </row>
    <row r="48" spans="1:21" x14ac:dyDescent="0.25">
      <c r="A48" s="7" t="s">
        <v>235</v>
      </c>
      <c r="B48" s="11" t="s">
        <v>657</v>
      </c>
      <c r="C48" s="7" t="s">
        <v>181</v>
      </c>
      <c r="D48" s="11" t="s">
        <v>676</v>
      </c>
      <c r="E48" s="11" t="s">
        <v>604</v>
      </c>
      <c r="F48" s="25" t="s">
        <v>24</v>
      </c>
      <c r="G48" s="7" t="s">
        <v>605</v>
      </c>
      <c r="H48" s="8">
        <v>0.1</v>
      </c>
      <c r="I48" s="8"/>
      <c r="J48" s="8"/>
      <c r="K48" s="8"/>
      <c r="L48" s="8"/>
      <c r="M48" s="8">
        <f>SUM(H48:L48)</f>
      </c>
      <c r="N48" s="23">
        <v>46336</v>
      </c>
      <c r="O48" s="23">
        <v>46336</v>
      </c>
      <c r="P48" s="7">
        <f>NETWORKDAYS(N48,O48)</f>
      </c>
      <c r="Q48" s="7" t="s">
        <v>583</v>
      </c>
      <c r="R48" s="11" t="s">
        <v>641</v>
      </c>
      <c r="S48" s="23">
        <v>46339</v>
      </c>
      <c r="T48" s="7" t="s">
        <v>581</v>
      </c>
      <c r="U48" s="7" t="s">
        <v>607</v>
      </c>
    </row>
    <row r="49" spans="1:21" x14ac:dyDescent="0.25">
      <c r="A49" s="7" t="s">
        <v>239</v>
      </c>
      <c r="B49" s="11" t="s">
        <v>657</v>
      </c>
      <c r="C49" s="7" t="s">
        <v>181</v>
      </c>
      <c r="D49" s="11" t="s">
        <v>677</v>
      </c>
      <c r="E49" s="11" t="s">
        <v>604</v>
      </c>
      <c r="F49" s="25" t="s">
        <v>24</v>
      </c>
      <c r="G49" s="7" t="s">
        <v>605</v>
      </c>
      <c r="H49" s="8">
        <v>0.05</v>
      </c>
      <c r="I49" s="8"/>
      <c r="J49" s="8"/>
      <c r="K49" s="8"/>
      <c r="L49" s="8"/>
      <c r="M49" s="8">
        <f>SUM(H49:L49)</f>
      </c>
      <c r="N49" s="23">
        <v>46336</v>
      </c>
      <c r="O49" s="23">
        <v>46336</v>
      </c>
      <c r="P49" s="7">
        <f>NETWORKDAYS(N49,O49)</f>
      </c>
      <c r="Q49" s="7" t="s">
        <v>583</v>
      </c>
      <c r="R49" s="11" t="s">
        <v>606</v>
      </c>
      <c r="S49" s="23">
        <v>46339</v>
      </c>
      <c r="T49" s="7" t="s">
        <v>581</v>
      </c>
      <c r="U49" s="7" t="s">
        <v>607</v>
      </c>
    </row>
    <row r="50" spans="1:21" x14ac:dyDescent="0.25">
      <c r="A50" s="7" t="s">
        <v>241</v>
      </c>
      <c r="B50" s="11" t="s">
        <v>657</v>
      </c>
      <c r="C50" s="7" t="s">
        <v>181</v>
      </c>
      <c r="D50" s="11" t="s">
        <v>678</v>
      </c>
      <c r="E50" s="11" t="s">
        <v>604</v>
      </c>
      <c r="F50" s="25" t="s">
        <v>24</v>
      </c>
      <c r="G50" s="7" t="s">
        <v>605</v>
      </c>
      <c r="H50" s="8">
        <v>0.1</v>
      </c>
      <c r="I50" s="8"/>
      <c r="J50" s="8"/>
      <c r="K50" s="8"/>
      <c r="L50" s="8"/>
      <c r="M50" s="8">
        <f>SUM(H50:L50)</f>
      </c>
      <c r="N50" s="23">
        <v>46337</v>
      </c>
      <c r="O50" s="23">
        <v>46337</v>
      </c>
      <c r="P50" s="7">
        <f>NETWORKDAYS(N50,O50)</f>
      </c>
      <c r="Q50" s="7" t="s">
        <v>583</v>
      </c>
      <c r="R50" s="11" t="s">
        <v>641</v>
      </c>
      <c r="S50" s="23">
        <v>46339</v>
      </c>
      <c r="T50" s="7" t="s">
        <v>581</v>
      </c>
      <c r="U50" s="7" t="s">
        <v>607</v>
      </c>
    </row>
    <row r="51" spans="1:21" x14ac:dyDescent="0.25">
      <c r="A51" s="7" t="s">
        <v>245</v>
      </c>
      <c r="B51" s="11" t="s">
        <v>657</v>
      </c>
      <c r="C51" s="7" t="s">
        <v>181</v>
      </c>
      <c r="D51" s="11" t="s">
        <v>679</v>
      </c>
      <c r="E51" s="11" t="s">
        <v>604</v>
      </c>
      <c r="F51" s="25" t="s">
        <v>24</v>
      </c>
      <c r="G51" s="7" t="s">
        <v>605</v>
      </c>
      <c r="H51" s="8">
        <v>0.05</v>
      </c>
      <c r="I51" s="8"/>
      <c r="J51" s="8"/>
      <c r="K51" s="8"/>
      <c r="L51" s="8"/>
      <c r="M51" s="8">
        <f>SUM(H51:L51)</f>
      </c>
      <c r="N51" s="23">
        <v>46337</v>
      </c>
      <c r="O51" s="23">
        <v>46337</v>
      </c>
      <c r="P51" s="7">
        <f>NETWORKDAYS(N51,O51)</f>
      </c>
      <c r="Q51" s="7" t="s">
        <v>583</v>
      </c>
      <c r="R51" s="11" t="s">
        <v>606</v>
      </c>
      <c r="S51" s="23">
        <v>46339</v>
      </c>
      <c r="T51" s="7" t="s">
        <v>581</v>
      </c>
      <c r="U51" s="7" t="s">
        <v>607</v>
      </c>
    </row>
    <row r="52" spans="1:21" x14ac:dyDescent="0.25">
      <c r="A52" s="7" t="s">
        <v>247</v>
      </c>
      <c r="B52" s="11" t="s">
        <v>657</v>
      </c>
      <c r="C52" s="7" t="s">
        <v>181</v>
      </c>
      <c r="D52" s="11" t="s">
        <v>680</v>
      </c>
      <c r="E52" s="11" t="s">
        <v>604</v>
      </c>
      <c r="F52" s="25" t="s">
        <v>24</v>
      </c>
      <c r="G52" s="7" t="s">
        <v>605</v>
      </c>
      <c r="H52" s="8">
        <v>0.1</v>
      </c>
      <c r="I52" s="8"/>
      <c r="J52" s="8"/>
      <c r="K52" s="8"/>
      <c r="L52" s="8"/>
      <c r="M52" s="8">
        <f>SUM(H52:L52)</f>
      </c>
      <c r="N52" s="23">
        <v>46337</v>
      </c>
      <c r="O52" s="23">
        <v>46337</v>
      </c>
      <c r="P52" s="7">
        <f>NETWORKDAYS(N52,O52)</f>
      </c>
      <c r="Q52" s="7" t="s">
        <v>583</v>
      </c>
      <c r="R52" s="11" t="s">
        <v>641</v>
      </c>
      <c r="S52" s="23">
        <v>46339</v>
      </c>
      <c r="T52" s="7" t="s">
        <v>581</v>
      </c>
      <c r="U52" s="7" t="s">
        <v>607</v>
      </c>
    </row>
    <row r="53" spans="1:21" x14ac:dyDescent="0.25">
      <c r="A53" s="7" t="s">
        <v>251</v>
      </c>
      <c r="B53" s="11" t="s">
        <v>657</v>
      </c>
      <c r="C53" s="7" t="s">
        <v>181</v>
      </c>
      <c r="D53" s="11" t="s">
        <v>681</v>
      </c>
      <c r="E53" s="11" t="s">
        <v>604</v>
      </c>
      <c r="F53" s="25" t="s">
        <v>24</v>
      </c>
      <c r="G53" s="7" t="s">
        <v>605</v>
      </c>
      <c r="H53" s="8">
        <v>0.05</v>
      </c>
      <c r="I53" s="8"/>
      <c r="J53" s="8"/>
      <c r="K53" s="8"/>
      <c r="L53" s="8"/>
      <c r="M53" s="8">
        <f>SUM(H53:L53)</f>
      </c>
      <c r="N53" s="23">
        <v>46337</v>
      </c>
      <c r="O53" s="23">
        <v>46337</v>
      </c>
      <c r="P53" s="7">
        <f>NETWORKDAYS(N53,O53)</f>
      </c>
      <c r="Q53" s="7" t="s">
        <v>583</v>
      </c>
      <c r="R53" s="11" t="s">
        <v>606</v>
      </c>
      <c r="S53" s="23">
        <v>46339</v>
      </c>
      <c r="T53" s="7" t="s">
        <v>581</v>
      </c>
      <c r="U53" s="7" t="s">
        <v>607</v>
      </c>
    </row>
    <row r="54" spans="1:21" x14ac:dyDescent="0.25">
      <c r="A54" s="7" t="s">
        <v>253</v>
      </c>
      <c r="B54" s="11" t="s">
        <v>657</v>
      </c>
      <c r="C54" s="7" t="s">
        <v>181</v>
      </c>
      <c r="D54" s="11" t="s">
        <v>682</v>
      </c>
      <c r="E54" s="11" t="s">
        <v>604</v>
      </c>
      <c r="F54" s="25" t="s">
        <v>24</v>
      </c>
      <c r="G54" s="7" t="s">
        <v>605</v>
      </c>
      <c r="H54" s="8">
        <v>0.1</v>
      </c>
      <c r="I54" s="8"/>
      <c r="J54" s="8"/>
      <c r="K54" s="8"/>
      <c r="L54" s="8"/>
      <c r="M54" s="8">
        <f>SUM(H54:L54)</f>
      </c>
      <c r="N54" s="23">
        <v>46337</v>
      </c>
      <c r="O54" s="23">
        <v>46337</v>
      </c>
      <c r="P54" s="7">
        <f>NETWORKDAYS(N54,O54)</f>
      </c>
      <c r="Q54" s="7" t="s">
        <v>583</v>
      </c>
      <c r="R54" s="11" t="s">
        <v>641</v>
      </c>
      <c r="S54" s="23">
        <v>46339</v>
      </c>
      <c r="T54" s="7" t="s">
        <v>581</v>
      </c>
      <c r="U54" s="7" t="s">
        <v>607</v>
      </c>
    </row>
    <row r="55" spans="1:21" x14ac:dyDescent="0.25">
      <c r="A55" s="7" t="s">
        <v>257</v>
      </c>
      <c r="B55" s="11" t="s">
        <v>657</v>
      </c>
      <c r="C55" s="7" t="s">
        <v>181</v>
      </c>
      <c r="D55" s="11" t="s">
        <v>683</v>
      </c>
      <c r="E55" s="11" t="s">
        <v>604</v>
      </c>
      <c r="F55" s="25" t="s">
        <v>24</v>
      </c>
      <c r="G55" s="7" t="s">
        <v>605</v>
      </c>
      <c r="H55" s="8">
        <v>0.05</v>
      </c>
      <c r="I55" s="8"/>
      <c r="J55" s="8"/>
      <c r="K55" s="8"/>
      <c r="L55" s="8"/>
      <c r="M55" s="8">
        <f>SUM(H55:L55)</f>
      </c>
      <c r="N55" s="23">
        <v>46337</v>
      </c>
      <c r="O55" s="23">
        <v>46337</v>
      </c>
      <c r="P55" s="7">
        <f>NETWORKDAYS(N55,O55)</f>
      </c>
      <c r="Q55" s="7" t="s">
        <v>583</v>
      </c>
      <c r="R55" s="11" t="s">
        <v>606</v>
      </c>
      <c r="S55" s="23">
        <v>46339</v>
      </c>
      <c r="T55" s="7" t="s">
        <v>581</v>
      </c>
      <c r="U55" s="7" t="s">
        <v>607</v>
      </c>
    </row>
    <row r="56" spans="1:21" x14ac:dyDescent="0.25">
      <c r="A56" s="7" t="s">
        <v>259</v>
      </c>
      <c r="B56" s="11" t="s">
        <v>657</v>
      </c>
      <c r="C56" s="7" t="s">
        <v>181</v>
      </c>
      <c r="D56" s="11" t="s">
        <v>684</v>
      </c>
      <c r="E56" s="11" t="s">
        <v>604</v>
      </c>
      <c r="F56" s="25" t="s">
        <v>24</v>
      </c>
      <c r="G56" s="7" t="s">
        <v>605</v>
      </c>
      <c r="H56" s="8">
        <v>0.05</v>
      </c>
      <c r="I56" s="8"/>
      <c r="J56" s="8"/>
      <c r="K56" s="8"/>
      <c r="L56" s="8"/>
      <c r="M56" s="8">
        <f>SUM(H56:L56)</f>
      </c>
      <c r="N56" s="23">
        <v>46337</v>
      </c>
      <c r="O56" s="23">
        <v>46337</v>
      </c>
      <c r="P56" s="7">
        <f>NETWORKDAYS(N56,O56)</f>
      </c>
      <c r="Q56" s="7" t="s">
        <v>583</v>
      </c>
      <c r="R56" s="11" t="s">
        <v>606</v>
      </c>
      <c r="S56" s="23">
        <v>46339</v>
      </c>
      <c r="T56" s="7" t="s">
        <v>581</v>
      </c>
      <c r="U56" s="7" t="s">
        <v>607</v>
      </c>
    </row>
    <row r="57" spans="1:21" x14ac:dyDescent="0.25">
      <c r="A57" s="7" t="s">
        <v>263</v>
      </c>
      <c r="B57" s="11" t="s">
        <v>657</v>
      </c>
      <c r="C57" s="7" t="s">
        <v>181</v>
      </c>
      <c r="D57" s="11" t="s">
        <v>685</v>
      </c>
      <c r="E57" s="11" t="s">
        <v>604</v>
      </c>
      <c r="F57" s="25" t="s">
        <v>24</v>
      </c>
      <c r="G57" s="7" t="s">
        <v>605</v>
      </c>
      <c r="H57" s="8">
        <v>0.1</v>
      </c>
      <c r="I57" s="8"/>
      <c r="J57" s="8"/>
      <c r="K57" s="8"/>
      <c r="L57" s="8"/>
      <c r="M57" s="8">
        <f>SUM(H57:L57)</f>
      </c>
      <c r="N57" s="23">
        <v>46337</v>
      </c>
      <c r="O57" s="23">
        <v>46337</v>
      </c>
      <c r="P57" s="7">
        <f>NETWORKDAYS(N57,O57)</f>
      </c>
      <c r="Q57" s="7" t="s">
        <v>583</v>
      </c>
      <c r="R57" s="11" t="s">
        <v>641</v>
      </c>
      <c r="S57" s="23">
        <v>46339</v>
      </c>
      <c r="T57" s="7" t="s">
        <v>581</v>
      </c>
      <c r="U57" s="7" t="s">
        <v>607</v>
      </c>
    </row>
    <row r="58" spans="1:21" x14ac:dyDescent="0.25">
      <c r="A58" s="7" t="s">
        <v>268</v>
      </c>
      <c r="B58" s="11" t="s">
        <v>657</v>
      </c>
      <c r="C58" s="7" t="s">
        <v>181</v>
      </c>
      <c r="D58" s="11" t="s">
        <v>686</v>
      </c>
      <c r="E58" s="11" t="s">
        <v>604</v>
      </c>
      <c r="F58" s="25" t="s">
        <v>24</v>
      </c>
      <c r="G58" s="7" t="s">
        <v>605</v>
      </c>
      <c r="H58" s="8">
        <v>0.05</v>
      </c>
      <c r="I58" s="8"/>
      <c r="J58" s="8"/>
      <c r="K58" s="8"/>
      <c r="L58" s="8"/>
      <c r="M58" s="8">
        <f>SUM(H58:L58)</f>
      </c>
      <c r="N58" s="23">
        <v>46337</v>
      </c>
      <c r="O58" s="23">
        <v>46337</v>
      </c>
      <c r="P58" s="7">
        <f>NETWORKDAYS(N58,O58)</f>
      </c>
      <c r="Q58" s="7" t="s">
        <v>583</v>
      </c>
      <c r="R58" s="11" t="s">
        <v>606</v>
      </c>
      <c r="S58" s="23">
        <v>46339</v>
      </c>
      <c r="T58" s="7" t="s">
        <v>581</v>
      </c>
      <c r="U58" s="7" t="s">
        <v>607</v>
      </c>
    </row>
    <row r="59" spans="1:21" x14ac:dyDescent="0.25">
      <c r="A59" s="7" t="s">
        <v>271</v>
      </c>
      <c r="B59" s="11" t="s">
        <v>657</v>
      </c>
      <c r="C59" s="7" t="s">
        <v>272</v>
      </c>
      <c r="D59" s="11" t="s">
        <v>687</v>
      </c>
      <c r="E59" s="11" t="s">
        <v>604</v>
      </c>
      <c r="F59" s="25" t="s">
        <v>24</v>
      </c>
      <c r="G59" s="7" t="s">
        <v>605</v>
      </c>
      <c r="H59" s="8">
        <v>0.1</v>
      </c>
      <c r="I59" s="8"/>
      <c r="J59" s="8"/>
      <c r="K59" s="8"/>
      <c r="L59" s="8"/>
      <c r="M59" s="8">
        <f>SUM(H59:L59)</f>
      </c>
      <c r="N59" s="23">
        <v>46337</v>
      </c>
      <c r="O59" s="23">
        <v>46337</v>
      </c>
      <c r="P59" s="7">
        <f>NETWORKDAYS(N59,O59)</f>
      </c>
      <c r="Q59" s="7" t="s">
        <v>583</v>
      </c>
      <c r="R59" s="11" t="s">
        <v>641</v>
      </c>
      <c r="S59" s="23">
        <v>46339</v>
      </c>
      <c r="T59" s="7" t="s">
        <v>581</v>
      </c>
      <c r="U59" s="7" t="s">
        <v>607</v>
      </c>
    </row>
    <row r="60" spans="1:21" x14ac:dyDescent="0.25">
      <c r="A60" s="7" t="s">
        <v>276</v>
      </c>
      <c r="B60" s="11" t="s">
        <v>657</v>
      </c>
      <c r="C60" s="7" t="s">
        <v>272</v>
      </c>
      <c r="D60" s="11" t="s">
        <v>688</v>
      </c>
      <c r="E60" s="11" t="s">
        <v>604</v>
      </c>
      <c r="F60" s="25" t="s">
        <v>24</v>
      </c>
      <c r="G60" s="7" t="s">
        <v>605</v>
      </c>
      <c r="H60" s="8">
        <v>0.05</v>
      </c>
      <c r="I60" s="8"/>
      <c r="J60" s="8"/>
      <c r="K60" s="8"/>
      <c r="L60" s="8"/>
      <c r="M60" s="8">
        <f>SUM(H60:L60)</f>
      </c>
      <c r="N60" s="23">
        <v>46337</v>
      </c>
      <c r="O60" s="23">
        <v>46337</v>
      </c>
      <c r="P60" s="7">
        <f>NETWORKDAYS(N60,O60)</f>
      </c>
      <c r="Q60" s="7" t="s">
        <v>583</v>
      </c>
      <c r="R60" s="11" t="s">
        <v>606</v>
      </c>
      <c r="S60" s="23">
        <v>46339</v>
      </c>
      <c r="T60" s="7" t="s">
        <v>581</v>
      </c>
      <c r="U60" s="7" t="s">
        <v>607</v>
      </c>
    </row>
    <row r="61" spans="1:21" x14ac:dyDescent="0.25">
      <c r="A61" s="7" t="s">
        <v>279</v>
      </c>
      <c r="B61" s="11" t="s">
        <v>657</v>
      </c>
      <c r="C61" s="7" t="s">
        <v>272</v>
      </c>
      <c r="D61" s="11" t="s">
        <v>689</v>
      </c>
      <c r="E61" s="11" t="s">
        <v>604</v>
      </c>
      <c r="F61" s="25" t="s">
        <v>24</v>
      </c>
      <c r="G61" s="7" t="s">
        <v>605</v>
      </c>
      <c r="H61" s="8">
        <v>0.05</v>
      </c>
      <c r="I61" s="8"/>
      <c r="J61" s="8"/>
      <c r="K61" s="8"/>
      <c r="L61" s="8"/>
      <c r="M61" s="8">
        <f>SUM(H61:L61)</f>
      </c>
      <c r="N61" s="23">
        <v>46337</v>
      </c>
      <c r="O61" s="23">
        <v>46337</v>
      </c>
      <c r="P61" s="7">
        <f>NETWORKDAYS(N61,O61)</f>
      </c>
      <c r="Q61" s="7" t="s">
        <v>583</v>
      </c>
      <c r="R61" s="11" t="s">
        <v>606</v>
      </c>
      <c r="S61" s="23">
        <v>46339</v>
      </c>
      <c r="T61" s="7" t="s">
        <v>581</v>
      </c>
      <c r="U61" s="7" t="s">
        <v>607</v>
      </c>
    </row>
    <row r="62" spans="1:21" x14ac:dyDescent="0.25">
      <c r="A62" s="7" t="s">
        <v>282</v>
      </c>
      <c r="B62" s="11" t="s">
        <v>657</v>
      </c>
      <c r="C62" s="7" t="s">
        <v>272</v>
      </c>
      <c r="D62" s="11" t="s">
        <v>690</v>
      </c>
      <c r="E62" s="11" t="s">
        <v>604</v>
      </c>
      <c r="F62" s="25" t="s">
        <v>24</v>
      </c>
      <c r="G62" s="7" t="s">
        <v>605</v>
      </c>
      <c r="H62" s="8">
        <v>0.1</v>
      </c>
      <c r="I62" s="8"/>
      <c r="J62" s="8"/>
      <c r="K62" s="8"/>
      <c r="L62" s="8"/>
      <c r="M62" s="8">
        <f>SUM(H62:L62)</f>
      </c>
      <c r="N62" s="23">
        <v>46337</v>
      </c>
      <c r="O62" s="23">
        <v>46337</v>
      </c>
      <c r="P62" s="7">
        <f>NETWORKDAYS(N62,O62)</f>
      </c>
      <c r="Q62" s="7" t="s">
        <v>583</v>
      </c>
      <c r="R62" s="11" t="s">
        <v>641</v>
      </c>
      <c r="S62" s="23">
        <v>46339</v>
      </c>
      <c r="T62" s="7" t="s">
        <v>581</v>
      </c>
      <c r="U62" s="7" t="s">
        <v>607</v>
      </c>
    </row>
    <row r="63" spans="1:21" x14ac:dyDescent="0.25">
      <c r="A63" s="7" t="s">
        <v>286</v>
      </c>
      <c r="B63" s="11" t="s">
        <v>657</v>
      </c>
      <c r="C63" s="7" t="s">
        <v>272</v>
      </c>
      <c r="D63" s="11" t="s">
        <v>691</v>
      </c>
      <c r="E63" s="11" t="s">
        <v>604</v>
      </c>
      <c r="F63" s="25" t="s">
        <v>24</v>
      </c>
      <c r="G63" s="7" t="s">
        <v>605</v>
      </c>
      <c r="H63" s="8">
        <v>0.05</v>
      </c>
      <c r="I63" s="8"/>
      <c r="J63" s="8"/>
      <c r="K63" s="8"/>
      <c r="L63" s="8"/>
      <c r="M63" s="8">
        <f>SUM(H63:L63)</f>
      </c>
      <c r="N63" s="23">
        <v>46337</v>
      </c>
      <c r="O63" s="23">
        <v>46337</v>
      </c>
      <c r="P63" s="7">
        <f>NETWORKDAYS(N63,O63)</f>
      </c>
      <c r="Q63" s="7" t="s">
        <v>583</v>
      </c>
      <c r="R63" s="11" t="s">
        <v>606</v>
      </c>
      <c r="S63" s="23">
        <v>46339</v>
      </c>
      <c r="T63" s="7" t="s">
        <v>581</v>
      </c>
      <c r="U63" s="7" t="s">
        <v>607</v>
      </c>
    </row>
    <row r="64" spans="1:21" x14ac:dyDescent="0.25">
      <c r="A64" s="7" t="s">
        <v>692</v>
      </c>
      <c r="B64" s="11" t="s">
        <v>657</v>
      </c>
      <c r="C64" s="7" t="s">
        <v>693</v>
      </c>
      <c r="D64" s="11" t="s">
        <v>694</v>
      </c>
      <c r="E64" s="11" t="s">
        <v>695</v>
      </c>
      <c r="F64" s="25" t="s">
        <v>24</v>
      </c>
      <c r="G64" s="7" t="s">
        <v>579</v>
      </c>
      <c r="H64" s="8">
        <v>0.5</v>
      </c>
      <c r="I64" s="8">
        <v>0.25</v>
      </c>
      <c r="J64" s="8"/>
      <c r="K64" s="8">
        <v>0.25</v>
      </c>
      <c r="L64" s="8">
        <v>0.25</v>
      </c>
      <c r="M64" s="8">
        <f>SUM(H64:L64)</f>
      </c>
      <c r="N64" s="23">
        <v>46338</v>
      </c>
      <c r="O64" s="23">
        <v>46339</v>
      </c>
      <c r="P64" s="7">
        <f>NETWORKDAYS(N64,O64)</f>
      </c>
      <c r="Q64" s="7" t="s">
        <v>696</v>
      </c>
      <c r="R64" s="11" t="s">
        <v>697</v>
      </c>
      <c r="S64" s="23"/>
      <c r="T64" s="7" t="s">
        <v>581</v>
      </c>
      <c r="U64" s="7" t="s">
        <v>698</v>
      </c>
    </row>
    <row r="65" spans="1:21" x14ac:dyDescent="0.25">
      <c r="A65" s="7" t="s">
        <v>288</v>
      </c>
      <c r="B65" s="11" t="s">
        <v>657</v>
      </c>
      <c r="C65" s="7" t="s">
        <v>272</v>
      </c>
      <c r="D65" s="11" t="s">
        <v>699</v>
      </c>
      <c r="E65" s="11" t="s">
        <v>604</v>
      </c>
      <c r="F65" s="25" t="s">
        <v>24</v>
      </c>
      <c r="G65" s="7" t="s">
        <v>605</v>
      </c>
      <c r="H65" s="8">
        <v>0.1</v>
      </c>
      <c r="I65" s="8"/>
      <c r="J65" s="8"/>
      <c r="K65" s="8"/>
      <c r="L65" s="8"/>
      <c r="M65" s="8">
        <f>SUM(H65:L65)</f>
      </c>
      <c r="N65" s="23">
        <v>46338</v>
      </c>
      <c r="O65" s="23">
        <v>46338</v>
      </c>
      <c r="P65" s="7">
        <f>NETWORKDAYS(N65,O65)</f>
      </c>
      <c r="Q65" s="7" t="s">
        <v>583</v>
      </c>
      <c r="R65" s="11" t="s">
        <v>641</v>
      </c>
      <c r="S65" s="23">
        <v>46339</v>
      </c>
      <c r="T65" s="7" t="s">
        <v>581</v>
      </c>
      <c r="U65" s="7" t="s">
        <v>607</v>
      </c>
    </row>
    <row r="66" spans="1:21" x14ac:dyDescent="0.25">
      <c r="A66" s="7" t="s">
        <v>292</v>
      </c>
      <c r="B66" s="11" t="s">
        <v>657</v>
      </c>
      <c r="C66" s="7" t="s">
        <v>272</v>
      </c>
      <c r="D66" s="11" t="s">
        <v>700</v>
      </c>
      <c r="E66" s="11" t="s">
        <v>604</v>
      </c>
      <c r="F66" s="25" t="s">
        <v>24</v>
      </c>
      <c r="G66" s="7" t="s">
        <v>605</v>
      </c>
      <c r="H66" s="8">
        <v>0.05</v>
      </c>
      <c r="I66" s="8"/>
      <c r="J66" s="8"/>
      <c r="K66" s="8"/>
      <c r="L66" s="8"/>
      <c r="M66" s="8">
        <f>SUM(H66:L66)</f>
      </c>
      <c r="N66" s="23">
        <v>46338</v>
      </c>
      <c r="O66" s="23">
        <v>46338</v>
      </c>
      <c r="P66" s="7">
        <f>NETWORKDAYS(N66,O66)</f>
      </c>
      <c r="Q66" s="7" t="s">
        <v>583</v>
      </c>
      <c r="R66" s="11" t="s">
        <v>606</v>
      </c>
      <c r="S66" s="23">
        <v>46339</v>
      </c>
      <c r="T66" s="7" t="s">
        <v>581</v>
      </c>
      <c r="U66" s="7" t="s">
        <v>607</v>
      </c>
    </row>
    <row r="67" spans="1:21" x14ac:dyDescent="0.25">
      <c r="A67" s="7" t="s">
        <v>294</v>
      </c>
      <c r="B67" s="11" t="s">
        <v>657</v>
      </c>
      <c r="C67" s="7" t="s">
        <v>272</v>
      </c>
      <c r="D67" s="11" t="s">
        <v>701</v>
      </c>
      <c r="E67" s="11" t="s">
        <v>604</v>
      </c>
      <c r="F67" s="25" t="s">
        <v>24</v>
      </c>
      <c r="G67" s="7" t="s">
        <v>605</v>
      </c>
      <c r="H67" s="8">
        <v>0.1</v>
      </c>
      <c r="I67" s="8"/>
      <c r="J67" s="8"/>
      <c r="K67" s="8"/>
      <c r="L67" s="8"/>
      <c r="M67" s="8">
        <f>SUM(H67:L67)</f>
      </c>
      <c r="N67" s="23">
        <v>46338</v>
      </c>
      <c r="O67" s="23">
        <v>46338</v>
      </c>
      <c r="P67" s="7">
        <f>NETWORKDAYS(N67,O67)</f>
      </c>
      <c r="Q67" s="7" t="s">
        <v>583</v>
      </c>
      <c r="R67" s="11" t="s">
        <v>641</v>
      </c>
      <c r="S67" s="23">
        <v>46339</v>
      </c>
      <c r="T67" s="7" t="s">
        <v>581</v>
      </c>
      <c r="U67" s="7" t="s">
        <v>607</v>
      </c>
    </row>
    <row r="68" spans="1:21" x14ac:dyDescent="0.25">
      <c r="A68" s="7" t="s">
        <v>298</v>
      </c>
      <c r="B68" s="11" t="s">
        <v>657</v>
      </c>
      <c r="C68" s="7" t="s">
        <v>272</v>
      </c>
      <c r="D68" s="11" t="s">
        <v>702</v>
      </c>
      <c r="E68" s="11" t="s">
        <v>604</v>
      </c>
      <c r="F68" s="25" t="s">
        <v>24</v>
      </c>
      <c r="G68" s="7" t="s">
        <v>605</v>
      </c>
      <c r="H68" s="8">
        <v>0.05</v>
      </c>
      <c r="I68" s="8"/>
      <c r="J68" s="8"/>
      <c r="K68" s="8"/>
      <c r="L68" s="8"/>
      <c r="M68" s="8">
        <f>SUM(H68:L68)</f>
      </c>
      <c r="N68" s="23">
        <v>46338</v>
      </c>
      <c r="O68" s="23">
        <v>46338</v>
      </c>
      <c r="P68" s="7">
        <f>NETWORKDAYS(N68,O68)</f>
      </c>
      <c r="Q68" s="7" t="s">
        <v>583</v>
      </c>
      <c r="R68" s="11" t="s">
        <v>606</v>
      </c>
      <c r="S68" s="23">
        <v>46339</v>
      </c>
      <c r="T68" s="7" t="s">
        <v>581</v>
      </c>
      <c r="U68" s="7" t="s">
        <v>607</v>
      </c>
    </row>
    <row r="69" spans="1:21" x14ac:dyDescent="0.25">
      <c r="A69" s="7" t="s">
        <v>300</v>
      </c>
      <c r="B69" s="11" t="s">
        <v>657</v>
      </c>
      <c r="C69" s="7" t="s">
        <v>272</v>
      </c>
      <c r="D69" s="11" t="s">
        <v>703</v>
      </c>
      <c r="E69" s="11" t="s">
        <v>604</v>
      </c>
      <c r="F69" s="25" t="s">
        <v>24</v>
      </c>
      <c r="G69" s="7" t="s">
        <v>605</v>
      </c>
      <c r="H69" s="8">
        <v>0.1</v>
      </c>
      <c r="I69" s="8"/>
      <c r="J69" s="8"/>
      <c r="K69" s="8"/>
      <c r="L69" s="8"/>
      <c r="M69" s="8">
        <f>SUM(H69:L69)</f>
      </c>
      <c r="N69" s="23">
        <v>46338</v>
      </c>
      <c r="O69" s="23">
        <v>46338</v>
      </c>
      <c r="P69" s="7">
        <f>NETWORKDAYS(N69,O69)</f>
      </c>
      <c r="Q69" s="7" t="s">
        <v>583</v>
      </c>
      <c r="R69" s="11" t="s">
        <v>641</v>
      </c>
      <c r="S69" s="23">
        <v>46339</v>
      </c>
      <c r="T69" s="7" t="s">
        <v>581</v>
      </c>
      <c r="U69" s="7" t="s">
        <v>607</v>
      </c>
    </row>
    <row r="70" spans="1:21" x14ac:dyDescent="0.25">
      <c r="A70" s="7" t="s">
        <v>304</v>
      </c>
      <c r="B70" s="11" t="s">
        <v>657</v>
      </c>
      <c r="C70" s="7" t="s">
        <v>272</v>
      </c>
      <c r="D70" s="11" t="s">
        <v>704</v>
      </c>
      <c r="E70" s="11" t="s">
        <v>604</v>
      </c>
      <c r="F70" s="25" t="s">
        <v>24</v>
      </c>
      <c r="G70" s="7" t="s">
        <v>605</v>
      </c>
      <c r="H70" s="8">
        <v>0.05</v>
      </c>
      <c r="I70" s="8"/>
      <c r="J70" s="8"/>
      <c r="K70" s="8"/>
      <c r="L70" s="8"/>
      <c r="M70" s="8">
        <f>SUM(H70:L70)</f>
      </c>
      <c r="N70" s="23">
        <v>46338</v>
      </c>
      <c r="O70" s="23">
        <v>46338</v>
      </c>
      <c r="P70" s="7">
        <f>NETWORKDAYS(N70,O70)</f>
      </c>
      <c r="Q70" s="7" t="s">
        <v>583</v>
      </c>
      <c r="R70" s="11" t="s">
        <v>606</v>
      </c>
      <c r="S70" s="23">
        <v>46339</v>
      </c>
      <c r="T70" s="7" t="s">
        <v>581</v>
      </c>
      <c r="U70" s="7" t="s">
        <v>607</v>
      </c>
    </row>
    <row r="71" spans="1:21" x14ac:dyDescent="0.25">
      <c r="A71" s="7" t="s">
        <v>306</v>
      </c>
      <c r="B71" s="11" t="s">
        <v>657</v>
      </c>
      <c r="C71" s="7" t="s">
        <v>307</v>
      </c>
      <c r="D71" s="11" t="s">
        <v>705</v>
      </c>
      <c r="E71" s="11" t="s">
        <v>640</v>
      </c>
      <c r="F71" s="25" t="s">
        <v>24</v>
      </c>
      <c r="G71" s="7" t="s">
        <v>605</v>
      </c>
      <c r="H71" s="8">
        <v>0.25</v>
      </c>
      <c r="I71" s="8"/>
      <c r="J71" s="8"/>
      <c r="K71" s="8"/>
      <c r="L71" s="8"/>
      <c r="M71" s="8">
        <f>SUM(H71:L71)</f>
      </c>
      <c r="N71" s="23">
        <v>46338</v>
      </c>
      <c r="O71" s="23">
        <v>46338</v>
      </c>
      <c r="P71" s="7">
        <f>NETWORKDAYS(N71,O71)</f>
      </c>
      <c r="Q71" s="7" t="s">
        <v>617</v>
      </c>
      <c r="R71" s="11" t="s">
        <v>641</v>
      </c>
      <c r="S71" s="23">
        <v>46339</v>
      </c>
      <c r="T71" s="7" t="s">
        <v>581</v>
      </c>
      <c r="U71" s="7" t="s">
        <v>607</v>
      </c>
    </row>
    <row r="72" spans="1:21" x14ac:dyDescent="0.25">
      <c r="A72" s="7" t="s">
        <v>312</v>
      </c>
      <c r="B72" s="11" t="s">
        <v>657</v>
      </c>
      <c r="C72" s="7" t="s">
        <v>307</v>
      </c>
      <c r="D72" s="11" t="s">
        <v>706</v>
      </c>
      <c r="E72" s="11" t="s">
        <v>604</v>
      </c>
      <c r="F72" s="25" t="s">
        <v>24</v>
      </c>
      <c r="G72" s="7" t="s">
        <v>605</v>
      </c>
      <c r="H72" s="8">
        <v>0.05</v>
      </c>
      <c r="I72" s="8"/>
      <c r="J72" s="8"/>
      <c r="K72" s="8"/>
      <c r="L72" s="8"/>
      <c r="M72" s="8">
        <f>SUM(H72:L72)</f>
      </c>
      <c r="N72" s="23">
        <v>46338</v>
      </c>
      <c r="O72" s="23">
        <v>46338</v>
      </c>
      <c r="P72" s="7">
        <f>NETWORKDAYS(N72,O72)</f>
      </c>
      <c r="Q72" s="7" t="s">
        <v>583</v>
      </c>
      <c r="R72" s="11" t="s">
        <v>606</v>
      </c>
      <c r="S72" s="23">
        <v>46339</v>
      </c>
      <c r="T72" s="7" t="s">
        <v>581</v>
      </c>
      <c r="U72" s="7" t="s">
        <v>607</v>
      </c>
    </row>
    <row r="73" spans="1:21" x14ac:dyDescent="0.25">
      <c r="A73" s="7" t="s">
        <v>314</v>
      </c>
      <c r="B73" s="11" t="s">
        <v>657</v>
      </c>
      <c r="C73" s="7" t="s">
        <v>307</v>
      </c>
      <c r="D73" s="11" t="s">
        <v>707</v>
      </c>
      <c r="E73" s="11" t="s">
        <v>640</v>
      </c>
      <c r="F73" s="25" t="s">
        <v>24</v>
      </c>
      <c r="G73" s="7" t="s">
        <v>605</v>
      </c>
      <c r="H73" s="8">
        <v>0.25</v>
      </c>
      <c r="I73" s="8"/>
      <c r="J73" s="8"/>
      <c r="K73" s="8"/>
      <c r="L73" s="8"/>
      <c r="M73" s="8">
        <f>SUM(H73:L73)</f>
      </c>
      <c r="N73" s="23">
        <v>46339</v>
      </c>
      <c r="O73" s="23">
        <v>46339</v>
      </c>
      <c r="P73" s="7">
        <f>NETWORKDAYS(N73,O73)</f>
      </c>
      <c r="Q73" s="7" t="s">
        <v>617</v>
      </c>
      <c r="R73" s="11" t="s">
        <v>641</v>
      </c>
      <c r="S73" s="23">
        <v>46339</v>
      </c>
      <c r="T73" s="7" t="s">
        <v>581</v>
      </c>
      <c r="U73" s="7" t="s">
        <v>607</v>
      </c>
    </row>
    <row r="74" spans="1:21" x14ac:dyDescent="0.25">
      <c r="A74" s="7" t="s">
        <v>318</v>
      </c>
      <c r="B74" s="11" t="s">
        <v>657</v>
      </c>
      <c r="C74" s="7" t="s">
        <v>307</v>
      </c>
      <c r="D74" s="11" t="s">
        <v>708</v>
      </c>
      <c r="E74" s="11" t="s">
        <v>604</v>
      </c>
      <c r="F74" s="25" t="s">
        <v>24</v>
      </c>
      <c r="G74" s="7" t="s">
        <v>605</v>
      </c>
      <c r="H74" s="8">
        <v>0.05</v>
      </c>
      <c r="I74" s="8"/>
      <c r="J74" s="8"/>
      <c r="K74" s="8"/>
      <c r="L74" s="8"/>
      <c r="M74" s="8">
        <f>SUM(H74:L74)</f>
      </c>
      <c r="N74" s="23">
        <v>46339</v>
      </c>
      <c r="O74" s="23">
        <v>46339</v>
      </c>
      <c r="P74" s="7">
        <f>NETWORKDAYS(N74,O74)</f>
      </c>
      <c r="Q74" s="7" t="s">
        <v>583</v>
      </c>
      <c r="R74" s="11" t="s">
        <v>606</v>
      </c>
      <c r="S74" s="23">
        <v>46339</v>
      </c>
      <c r="T74" s="7" t="s">
        <v>581</v>
      </c>
      <c r="U74" s="7" t="s">
        <v>607</v>
      </c>
    </row>
    <row r="75" spans="1:21" x14ac:dyDescent="0.25">
      <c r="A75" s="7" t="s">
        <v>402</v>
      </c>
      <c r="B75" s="11" t="s">
        <v>709</v>
      </c>
      <c r="C75" s="7" t="s">
        <v>386</v>
      </c>
      <c r="D75" s="11" t="s">
        <v>710</v>
      </c>
      <c r="E75" s="11" t="s">
        <v>604</v>
      </c>
      <c r="F75" s="25" t="s">
        <v>24</v>
      </c>
      <c r="G75" s="7" t="s">
        <v>605</v>
      </c>
      <c r="H75" s="8">
        <v>0.1</v>
      </c>
      <c r="I75" s="8"/>
      <c r="J75" s="8"/>
      <c r="K75" s="8"/>
      <c r="L75" s="8"/>
      <c r="M75" s="8">
        <f>SUM(H75:L75)</f>
      </c>
      <c r="N75" s="23">
        <v>46326</v>
      </c>
      <c r="O75" s="23">
        <v>46326</v>
      </c>
      <c r="P75" s="7">
        <f>NETWORKDAYS(N75,O75)</f>
      </c>
      <c r="Q75" s="7" t="s">
        <v>583</v>
      </c>
      <c r="R75" s="11" t="s">
        <v>641</v>
      </c>
      <c r="S75" s="23">
        <v>46346</v>
      </c>
      <c r="T75" s="7" t="s">
        <v>581</v>
      </c>
      <c r="U75" s="7" t="s">
        <v>607</v>
      </c>
    </row>
    <row r="76" spans="1:21" x14ac:dyDescent="0.25">
      <c r="A76" s="7" t="s">
        <v>406</v>
      </c>
      <c r="B76" s="11" t="s">
        <v>709</v>
      </c>
      <c r="C76" s="7" t="s">
        <v>386</v>
      </c>
      <c r="D76" s="11" t="s">
        <v>711</v>
      </c>
      <c r="E76" s="11" t="s">
        <v>604</v>
      </c>
      <c r="F76" s="25" t="s">
        <v>24</v>
      </c>
      <c r="G76" s="7" t="s">
        <v>605</v>
      </c>
      <c r="H76" s="8">
        <v>0.1</v>
      </c>
      <c r="I76" s="8"/>
      <c r="J76" s="8"/>
      <c r="K76" s="8"/>
      <c r="L76" s="8"/>
      <c r="M76" s="8">
        <f>SUM(H76:L76)</f>
      </c>
      <c r="N76" s="23">
        <v>46326</v>
      </c>
      <c r="O76" s="23">
        <v>46326</v>
      </c>
      <c r="P76" s="7">
        <f>NETWORKDAYS(N76,O76)</f>
      </c>
      <c r="Q76" s="7" t="s">
        <v>583</v>
      </c>
      <c r="R76" s="11" t="s">
        <v>641</v>
      </c>
      <c r="S76" s="23">
        <v>46346</v>
      </c>
      <c r="T76" s="7" t="s">
        <v>581</v>
      </c>
      <c r="U76" s="7" t="s">
        <v>607</v>
      </c>
    </row>
    <row r="77" spans="1:21" x14ac:dyDescent="0.25">
      <c r="A77" s="7" t="s">
        <v>409</v>
      </c>
      <c r="B77" s="11" t="s">
        <v>709</v>
      </c>
      <c r="C77" s="7" t="s">
        <v>410</v>
      </c>
      <c r="D77" s="11" t="s">
        <v>712</v>
      </c>
      <c r="E77" s="11" t="s">
        <v>604</v>
      </c>
      <c r="F77" s="25" t="s">
        <v>24</v>
      </c>
      <c r="G77" s="7" t="s">
        <v>605</v>
      </c>
      <c r="H77" s="8">
        <v>0.1</v>
      </c>
      <c r="I77" s="8"/>
      <c r="J77" s="8"/>
      <c r="K77" s="8"/>
      <c r="L77" s="8"/>
      <c r="M77" s="8">
        <f>SUM(H77:L77)</f>
      </c>
      <c r="N77" s="23">
        <v>46326</v>
      </c>
      <c r="O77" s="23">
        <v>46326</v>
      </c>
      <c r="P77" s="7">
        <f>NETWORKDAYS(N77,O77)</f>
      </c>
      <c r="Q77" s="7" t="s">
        <v>583</v>
      </c>
      <c r="R77" s="11" t="s">
        <v>606</v>
      </c>
      <c r="S77" s="23">
        <v>46346</v>
      </c>
      <c r="T77" s="7" t="s">
        <v>581</v>
      </c>
      <c r="U77" s="7" t="s">
        <v>607</v>
      </c>
    </row>
    <row r="78" spans="1:21" x14ac:dyDescent="0.25">
      <c r="A78" s="7" t="s">
        <v>415</v>
      </c>
      <c r="B78" s="11" t="s">
        <v>709</v>
      </c>
      <c r="C78" s="7" t="s">
        <v>410</v>
      </c>
      <c r="D78" s="11" t="s">
        <v>713</v>
      </c>
      <c r="E78" s="11" t="s">
        <v>604</v>
      </c>
      <c r="F78" s="25" t="s">
        <v>24</v>
      </c>
      <c r="G78" s="7" t="s">
        <v>605</v>
      </c>
      <c r="H78" s="8">
        <v>0.1</v>
      </c>
      <c r="I78" s="8"/>
      <c r="J78" s="8"/>
      <c r="K78" s="8"/>
      <c r="L78" s="8"/>
      <c r="M78" s="8">
        <f>SUM(H78:L78)</f>
      </c>
      <c r="N78" s="23">
        <v>46326</v>
      </c>
      <c r="O78" s="23">
        <v>46326</v>
      </c>
      <c r="P78" s="7">
        <f>NETWORKDAYS(N78,O78)</f>
      </c>
      <c r="Q78" s="7" t="s">
        <v>583</v>
      </c>
      <c r="R78" s="11" t="s">
        <v>606</v>
      </c>
      <c r="S78" s="23">
        <v>46346</v>
      </c>
      <c r="T78" s="7" t="s">
        <v>581</v>
      </c>
      <c r="U78" s="7" t="s">
        <v>607</v>
      </c>
    </row>
    <row r="79" spans="1:21" x14ac:dyDescent="0.25">
      <c r="A79" s="7" t="s">
        <v>714</v>
      </c>
      <c r="B79" s="11" t="s">
        <v>709</v>
      </c>
      <c r="C79" s="7" t="s">
        <v>715</v>
      </c>
      <c r="D79" s="11" t="s">
        <v>716</v>
      </c>
      <c r="E79" s="11" t="s">
        <v>717</v>
      </c>
      <c r="F79" s="27" t="s">
        <v>36</v>
      </c>
      <c r="G79" s="7" t="s">
        <v>579</v>
      </c>
      <c r="H79" s="8"/>
      <c r="I79" s="8">
        <v>0.25</v>
      </c>
      <c r="J79" s="8"/>
      <c r="K79" s="8"/>
      <c r="L79" s="8">
        <v>1</v>
      </c>
      <c r="M79" s="8">
        <f>SUM(H79:L79)</f>
      </c>
      <c r="N79" s="23">
        <v>46329</v>
      </c>
      <c r="O79" s="23">
        <v>46331</v>
      </c>
      <c r="P79" s="7">
        <f>NETWORKDAYS(N79,O79)</f>
      </c>
      <c r="Q79" s="7" t="s">
        <v>587</v>
      </c>
      <c r="R79" s="11" t="s">
        <v>718</v>
      </c>
      <c r="S79" s="23"/>
      <c r="T79" s="7" t="s">
        <v>581</v>
      </c>
      <c r="U79" s="7" t="s">
        <v>582</v>
      </c>
    </row>
    <row r="80" spans="1:21" x14ac:dyDescent="0.25">
      <c r="A80" s="7" t="s">
        <v>719</v>
      </c>
      <c r="B80" s="11" t="s">
        <v>709</v>
      </c>
      <c r="C80" s="7" t="s">
        <v>720</v>
      </c>
      <c r="D80" s="11" t="s">
        <v>721</v>
      </c>
      <c r="E80" s="11" t="s">
        <v>722</v>
      </c>
      <c r="F80" s="27" t="s">
        <v>36</v>
      </c>
      <c r="G80" s="7" t="s">
        <v>579</v>
      </c>
      <c r="H80" s="8"/>
      <c r="I80" s="8"/>
      <c r="J80" s="8"/>
      <c r="K80" s="8"/>
      <c r="L80" s="8">
        <v>0.75</v>
      </c>
      <c r="M80" s="8">
        <f>SUM(H80:L80)</f>
      </c>
      <c r="N80" s="23">
        <v>46329</v>
      </c>
      <c r="O80" s="23">
        <v>46331</v>
      </c>
      <c r="P80" s="7">
        <f>NETWORKDAYS(N80,O80)</f>
      </c>
      <c r="Q80" s="7" t="s">
        <v>587</v>
      </c>
      <c r="R80" s="11" t="s">
        <v>718</v>
      </c>
      <c r="S80" s="23"/>
      <c r="T80" s="7" t="s">
        <v>581</v>
      </c>
      <c r="U80" s="7" t="s">
        <v>582</v>
      </c>
    </row>
    <row r="81" spans="1:21" x14ac:dyDescent="0.25">
      <c r="A81" s="7" t="s">
        <v>327</v>
      </c>
      <c r="B81" s="11" t="s">
        <v>709</v>
      </c>
      <c r="C81" s="7" t="s">
        <v>321</v>
      </c>
      <c r="D81" s="11" t="s">
        <v>723</v>
      </c>
      <c r="E81" s="11" t="s">
        <v>724</v>
      </c>
      <c r="F81" s="21" t="s">
        <v>27</v>
      </c>
      <c r="G81" s="7" t="s">
        <v>31</v>
      </c>
      <c r="H81" s="8"/>
      <c r="I81" s="8">
        <v>3</v>
      </c>
      <c r="J81" s="8"/>
      <c r="K81" s="8"/>
      <c r="L81" s="8"/>
      <c r="M81" s="8">
        <f>SUM(H81:L81)</f>
      </c>
      <c r="N81" s="23">
        <v>46332</v>
      </c>
      <c r="O81" s="23">
        <v>46337</v>
      </c>
      <c r="P81" s="7">
        <f>NETWORKDAYS(N81,O81)</f>
      </c>
      <c r="Q81" s="7" t="s">
        <v>714</v>
      </c>
      <c r="R81" s="11" t="s">
        <v>725</v>
      </c>
      <c r="S81" s="23">
        <v>46346</v>
      </c>
      <c r="T81" s="7" t="s">
        <v>581</v>
      </c>
      <c r="U81" s="7" t="s">
        <v>616</v>
      </c>
    </row>
    <row r="82" spans="1:21" x14ac:dyDescent="0.25">
      <c r="A82" s="7" t="s">
        <v>424</v>
      </c>
      <c r="B82" s="11" t="s">
        <v>709</v>
      </c>
      <c r="C82" s="7" t="s">
        <v>419</v>
      </c>
      <c r="D82" s="11" t="s">
        <v>726</v>
      </c>
      <c r="E82" s="11" t="s">
        <v>645</v>
      </c>
      <c r="F82" s="21" t="s">
        <v>27</v>
      </c>
      <c r="G82" s="7" t="s">
        <v>31</v>
      </c>
      <c r="H82" s="8"/>
      <c r="I82" s="8">
        <v>2</v>
      </c>
      <c r="J82" s="8"/>
      <c r="K82" s="8"/>
      <c r="L82" s="8"/>
      <c r="M82" s="8">
        <f>SUM(H82:L82)</f>
      </c>
      <c r="N82" s="23">
        <v>46337</v>
      </c>
      <c r="O82" s="23">
        <v>46339</v>
      </c>
      <c r="P82" s="7">
        <f>NETWORKDAYS(N82,O82)</f>
      </c>
      <c r="Q82" s="7" t="s">
        <v>719</v>
      </c>
      <c r="R82" s="11" t="s">
        <v>727</v>
      </c>
      <c r="S82" s="23">
        <v>46346</v>
      </c>
      <c r="T82" s="7" t="s">
        <v>581</v>
      </c>
      <c r="U82" s="7" t="s">
        <v>616</v>
      </c>
    </row>
    <row r="83" spans="1:21" x14ac:dyDescent="0.25">
      <c r="A83" s="7" t="s">
        <v>418</v>
      </c>
      <c r="B83" s="11" t="s">
        <v>709</v>
      </c>
      <c r="C83" s="7" t="s">
        <v>419</v>
      </c>
      <c r="D83" s="11" t="s">
        <v>728</v>
      </c>
      <c r="E83" s="11" t="s">
        <v>643</v>
      </c>
      <c r="F83" s="25" t="s">
        <v>24</v>
      </c>
      <c r="G83" s="7" t="s">
        <v>605</v>
      </c>
      <c r="H83" s="8">
        <v>0.5</v>
      </c>
      <c r="I83" s="8"/>
      <c r="J83" s="8"/>
      <c r="K83" s="8"/>
      <c r="L83" s="8"/>
      <c r="M83" s="8">
        <f>SUM(H83:L83)</f>
      </c>
      <c r="N83" s="23">
        <v>46340</v>
      </c>
      <c r="O83" s="23">
        <v>46340</v>
      </c>
      <c r="P83" s="7">
        <f>NETWORKDAYS(N83,O83)</f>
      </c>
      <c r="Q83" s="7" t="s">
        <v>424</v>
      </c>
      <c r="R83" s="11" t="s">
        <v>641</v>
      </c>
      <c r="S83" s="23">
        <v>46346</v>
      </c>
      <c r="T83" s="7" t="s">
        <v>581</v>
      </c>
      <c r="U83" s="7" t="s">
        <v>607</v>
      </c>
    </row>
    <row r="84" spans="1:21" x14ac:dyDescent="0.25">
      <c r="A84" s="7" t="s">
        <v>425</v>
      </c>
      <c r="B84" s="11" t="s">
        <v>709</v>
      </c>
      <c r="C84" s="7" t="s">
        <v>419</v>
      </c>
      <c r="D84" s="11" t="s">
        <v>729</v>
      </c>
      <c r="E84" s="11" t="s">
        <v>643</v>
      </c>
      <c r="F84" s="25" t="s">
        <v>24</v>
      </c>
      <c r="G84" s="7" t="s">
        <v>605</v>
      </c>
      <c r="H84" s="8">
        <v>0.25</v>
      </c>
      <c r="I84" s="8"/>
      <c r="J84" s="8"/>
      <c r="K84" s="8"/>
      <c r="L84" s="8"/>
      <c r="M84" s="8">
        <f>SUM(H84:L84)</f>
      </c>
      <c r="N84" s="23">
        <v>46340</v>
      </c>
      <c r="O84" s="23">
        <v>46340</v>
      </c>
      <c r="P84" s="7">
        <f>NETWORKDAYS(N84,O84)</f>
      </c>
      <c r="Q84" s="7" t="s">
        <v>424</v>
      </c>
      <c r="R84" s="11" t="s">
        <v>641</v>
      </c>
      <c r="S84" s="23">
        <v>46346</v>
      </c>
      <c r="T84" s="7" t="s">
        <v>581</v>
      </c>
      <c r="U84" s="7" t="s">
        <v>607</v>
      </c>
    </row>
    <row r="85" spans="1:21" x14ac:dyDescent="0.25">
      <c r="A85" s="7" t="s">
        <v>428</v>
      </c>
      <c r="B85" s="11" t="s">
        <v>709</v>
      </c>
      <c r="C85" s="7" t="s">
        <v>419</v>
      </c>
      <c r="D85" s="11" t="s">
        <v>730</v>
      </c>
      <c r="E85" s="11" t="s">
        <v>643</v>
      </c>
      <c r="F85" s="25" t="s">
        <v>24</v>
      </c>
      <c r="G85" s="7" t="s">
        <v>605</v>
      </c>
      <c r="H85" s="8">
        <v>0.25</v>
      </c>
      <c r="I85" s="8"/>
      <c r="J85" s="8"/>
      <c r="K85" s="8"/>
      <c r="L85" s="8"/>
      <c r="M85" s="8">
        <f>SUM(H85:L85)</f>
      </c>
      <c r="N85" s="23">
        <v>46340</v>
      </c>
      <c r="O85" s="23">
        <v>46340</v>
      </c>
      <c r="P85" s="7">
        <f>NETWORKDAYS(N85,O85)</f>
      </c>
      <c r="Q85" s="7" t="s">
        <v>424</v>
      </c>
      <c r="R85" s="11" t="s">
        <v>641</v>
      </c>
      <c r="S85" s="23">
        <v>46346</v>
      </c>
      <c r="T85" s="7" t="s">
        <v>581</v>
      </c>
      <c r="U85" s="7" t="s">
        <v>607</v>
      </c>
    </row>
    <row r="86" spans="1:21" x14ac:dyDescent="0.25">
      <c r="A86" s="7" t="s">
        <v>320</v>
      </c>
      <c r="B86" s="11" t="s">
        <v>709</v>
      </c>
      <c r="C86" s="7" t="s">
        <v>321</v>
      </c>
      <c r="D86" s="11" t="s">
        <v>731</v>
      </c>
      <c r="E86" s="11" t="s">
        <v>640</v>
      </c>
      <c r="F86" s="25" t="s">
        <v>24</v>
      </c>
      <c r="G86" s="7" t="s">
        <v>605</v>
      </c>
      <c r="H86" s="8">
        <v>0.25</v>
      </c>
      <c r="I86" s="8"/>
      <c r="J86" s="8"/>
      <c r="K86" s="8"/>
      <c r="L86" s="8"/>
      <c r="M86" s="8">
        <f>SUM(H86:L86)</f>
      </c>
      <c r="N86" s="23">
        <v>46342</v>
      </c>
      <c r="O86" s="23">
        <v>46342</v>
      </c>
      <c r="P86" s="7">
        <f>NETWORKDAYS(N86,O86)</f>
      </c>
      <c r="Q86" s="7" t="s">
        <v>327</v>
      </c>
      <c r="R86" s="11" t="s">
        <v>641</v>
      </c>
      <c r="S86" s="23">
        <v>46346</v>
      </c>
      <c r="T86" s="7" t="s">
        <v>581</v>
      </c>
      <c r="U86" s="7" t="s">
        <v>607</v>
      </c>
    </row>
    <row r="87" spans="1:21" x14ac:dyDescent="0.25">
      <c r="A87" s="7" t="s">
        <v>328</v>
      </c>
      <c r="B87" s="11" t="s">
        <v>709</v>
      </c>
      <c r="C87" s="7" t="s">
        <v>321</v>
      </c>
      <c r="D87" s="11" t="s">
        <v>732</v>
      </c>
      <c r="E87" s="11" t="s">
        <v>640</v>
      </c>
      <c r="F87" s="25" t="s">
        <v>24</v>
      </c>
      <c r="G87" s="7" t="s">
        <v>605</v>
      </c>
      <c r="H87" s="8">
        <v>0.25</v>
      </c>
      <c r="I87" s="8"/>
      <c r="J87" s="8"/>
      <c r="K87" s="8"/>
      <c r="L87" s="8"/>
      <c r="M87" s="8">
        <f>SUM(H87:L87)</f>
      </c>
      <c r="N87" s="23">
        <v>46342</v>
      </c>
      <c r="O87" s="23">
        <v>46342</v>
      </c>
      <c r="P87" s="7">
        <f>NETWORKDAYS(N87,O87)</f>
      </c>
      <c r="Q87" s="7" t="s">
        <v>327</v>
      </c>
      <c r="R87" s="11" t="s">
        <v>641</v>
      </c>
      <c r="S87" s="23">
        <v>46346</v>
      </c>
      <c r="T87" s="7" t="s">
        <v>581</v>
      </c>
      <c r="U87" s="7" t="s">
        <v>607</v>
      </c>
    </row>
    <row r="88" spans="1:21" x14ac:dyDescent="0.25">
      <c r="A88" s="7" t="s">
        <v>333</v>
      </c>
      <c r="B88" s="11" t="s">
        <v>709</v>
      </c>
      <c r="C88" s="7" t="s">
        <v>321</v>
      </c>
      <c r="D88" s="11" t="s">
        <v>733</v>
      </c>
      <c r="E88" s="11" t="s">
        <v>640</v>
      </c>
      <c r="F88" s="25" t="s">
        <v>24</v>
      </c>
      <c r="G88" s="7" t="s">
        <v>605</v>
      </c>
      <c r="H88" s="8">
        <v>0.25</v>
      </c>
      <c r="I88" s="8"/>
      <c r="J88" s="8"/>
      <c r="K88" s="8"/>
      <c r="L88" s="8"/>
      <c r="M88" s="8">
        <f>SUM(H88:L88)</f>
      </c>
      <c r="N88" s="23">
        <v>46342</v>
      </c>
      <c r="O88" s="23">
        <v>46342</v>
      </c>
      <c r="P88" s="7">
        <f>NETWORKDAYS(N88,O88)</f>
      </c>
      <c r="Q88" s="7" t="s">
        <v>327</v>
      </c>
      <c r="R88" s="11" t="s">
        <v>641</v>
      </c>
      <c r="S88" s="23">
        <v>46346</v>
      </c>
      <c r="T88" s="7" t="s">
        <v>581</v>
      </c>
      <c r="U88" s="7" t="s">
        <v>607</v>
      </c>
    </row>
    <row r="89" spans="1:21" x14ac:dyDescent="0.25">
      <c r="A89" s="7" t="s">
        <v>336</v>
      </c>
      <c r="B89" s="11" t="s">
        <v>709</v>
      </c>
      <c r="C89" s="7" t="s">
        <v>321</v>
      </c>
      <c r="D89" s="11" t="s">
        <v>734</v>
      </c>
      <c r="E89" s="11" t="s">
        <v>640</v>
      </c>
      <c r="F89" s="25" t="s">
        <v>24</v>
      </c>
      <c r="G89" s="7" t="s">
        <v>605</v>
      </c>
      <c r="H89" s="8">
        <v>0.25</v>
      </c>
      <c r="I89" s="8"/>
      <c r="J89" s="8"/>
      <c r="K89" s="8"/>
      <c r="L89" s="8"/>
      <c r="M89" s="8">
        <f>SUM(H89:L89)</f>
      </c>
      <c r="N89" s="23">
        <v>46342</v>
      </c>
      <c r="O89" s="23">
        <v>46343</v>
      </c>
      <c r="P89" s="7">
        <f>NETWORKDAYS(N89,O89)</f>
      </c>
      <c r="Q89" s="7" t="s">
        <v>327</v>
      </c>
      <c r="R89" s="11" t="s">
        <v>641</v>
      </c>
      <c r="S89" s="23">
        <v>46346</v>
      </c>
      <c r="T89" s="7" t="s">
        <v>581</v>
      </c>
      <c r="U89" s="7" t="s">
        <v>607</v>
      </c>
    </row>
    <row r="90" spans="1:21" x14ac:dyDescent="0.25">
      <c r="A90" s="7" t="s">
        <v>391</v>
      </c>
      <c r="B90" s="11" t="s">
        <v>709</v>
      </c>
      <c r="C90" s="7" t="s">
        <v>386</v>
      </c>
      <c r="D90" s="11" t="s">
        <v>735</v>
      </c>
      <c r="E90" s="11" t="s">
        <v>645</v>
      </c>
      <c r="F90" s="21" t="s">
        <v>27</v>
      </c>
      <c r="G90" s="7" t="s">
        <v>31</v>
      </c>
      <c r="H90" s="8"/>
      <c r="I90" s="8">
        <v>1</v>
      </c>
      <c r="J90" s="8"/>
      <c r="K90" s="8"/>
      <c r="L90" s="8"/>
      <c r="M90" s="8">
        <f>SUM(H90:L90)</f>
      </c>
      <c r="N90" s="23">
        <v>46342</v>
      </c>
      <c r="O90" s="23">
        <v>46343</v>
      </c>
      <c r="P90" s="7">
        <f>NETWORKDAYS(N90,O90)</f>
      </c>
      <c r="Q90" s="7" t="s">
        <v>719</v>
      </c>
      <c r="R90" s="11" t="s">
        <v>736</v>
      </c>
      <c r="S90" s="23">
        <v>46346</v>
      </c>
      <c r="T90" s="7" t="s">
        <v>581</v>
      </c>
      <c r="U90" s="7" t="s">
        <v>616</v>
      </c>
    </row>
    <row r="91" spans="1:21" x14ac:dyDescent="0.25">
      <c r="A91" s="7" t="s">
        <v>438</v>
      </c>
      <c r="B91" s="11" t="s">
        <v>709</v>
      </c>
      <c r="C91" s="7" t="s">
        <v>419</v>
      </c>
      <c r="D91" s="11" t="s">
        <v>737</v>
      </c>
      <c r="E91" s="11" t="s">
        <v>645</v>
      </c>
      <c r="F91" s="21" t="s">
        <v>27</v>
      </c>
      <c r="G91" s="7" t="s">
        <v>31</v>
      </c>
      <c r="H91" s="8"/>
      <c r="I91" s="8">
        <v>0.5</v>
      </c>
      <c r="J91" s="8"/>
      <c r="K91" s="8"/>
      <c r="L91" s="8"/>
      <c r="M91" s="8">
        <f>SUM(H91:L91)</f>
      </c>
      <c r="N91" s="23">
        <v>46342</v>
      </c>
      <c r="O91" s="23">
        <v>46342</v>
      </c>
      <c r="P91" s="7">
        <f>NETWORKDAYS(N91,O91)</f>
      </c>
      <c r="Q91" s="7" t="s">
        <v>424</v>
      </c>
      <c r="R91" s="11" t="s">
        <v>738</v>
      </c>
      <c r="S91" s="23">
        <v>46346</v>
      </c>
      <c r="T91" s="7" t="s">
        <v>581</v>
      </c>
      <c r="U91" s="7" t="s">
        <v>616</v>
      </c>
    </row>
    <row r="92" spans="1:21" x14ac:dyDescent="0.25">
      <c r="A92" s="7" t="s">
        <v>339</v>
      </c>
      <c r="B92" s="11" t="s">
        <v>709</v>
      </c>
      <c r="C92" s="7" t="s">
        <v>321</v>
      </c>
      <c r="D92" s="11" t="s">
        <v>739</v>
      </c>
      <c r="E92" s="11" t="s">
        <v>604</v>
      </c>
      <c r="F92" s="25" t="s">
        <v>24</v>
      </c>
      <c r="G92" s="7" t="s">
        <v>605</v>
      </c>
      <c r="H92" s="8">
        <v>0.1</v>
      </c>
      <c r="I92" s="8"/>
      <c r="J92" s="8"/>
      <c r="K92" s="8"/>
      <c r="L92" s="8"/>
      <c r="M92" s="8">
        <f>SUM(H92:L92)</f>
      </c>
      <c r="N92" s="23">
        <v>46343</v>
      </c>
      <c r="O92" s="23">
        <v>46343</v>
      </c>
      <c r="P92" s="7">
        <f>NETWORKDAYS(N92,O92)</f>
      </c>
      <c r="Q92" s="7" t="s">
        <v>327</v>
      </c>
      <c r="R92" s="11" t="s">
        <v>641</v>
      </c>
      <c r="S92" s="23">
        <v>46346</v>
      </c>
      <c r="T92" s="7" t="s">
        <v>581</v>
      </c>
      <c r="U92" s="7" t="s">
        <v>607</v>
      </c>
    </row>
    <row r="93" spans="1:21" x14ac:dyDescent="0.25">
      <c r="A93" s="7" t="s">
        <v>342</v>
      </c>
      <c r="B93" s="11" t="s">
        <v>709</v>
      </c>
      <c r="C93" s="7" t="s">
        <v>321</v>
      </c>
      <c r="D93" s="11" t="s">
        <v>740</v>
      </c>
      <c r="E93" s="11" t="s">
        <v>604</v>
      </c>
      <c r="F93" s="25" t="s">
        <v>24</v>
      </c>
      <c r="G93" s="7" t="s">
        <v>605</v>
      </c>
      <c r="H93" s="8">
        <v>0.1</v>
      </c>
      <c r="I93" s="8"/>
      <c r="J93" s="8"/>
      <c r="K93" s="8"/>
      <c r="L93" s="8"/>
      <c r="M93" s="8">
        <f>SUM(H93:L93)</f>
      </c>
      <c r="N93" s="23">
        <v>46343</v>
      </c>
      <c r="O93" s="23">
        <v>46343</v>
      </c>
      <c r="P93" s="7">
        <f>NETWORKDAYS(N93,O93)</f>
      </c>
      <c r="Q93" s="7" t="s">
        <v>327</v>
      </c>
      <c r="R93" s="11" t="s">
        <v>641</v>
      </c>
      <c r="S93" s="23">
        <v>46346</v>
      </c>
      <c r="T93" s="7" t="s">
        <v>581</v>
      </c>
      <c r="U93" s="7" t="s">
        <v>607</v>
      </c>
    </row>
    <row r="94" spans="1:21" x14ac:dyDescent="0.25">
      <c r="A94" s="7" t="s">
        <v>345</v>
      </c>
      <c r="B94" s="11" t="s">
        <v>709</v>
      </c>
      <c r="C94" s="7" t="s">
        <v>321</v>
      </c>
      <c r="D94" s="11" t="s">
        <v>741</v>
      </c>
      <c r="E94" s="11" t="s">
        <v>604</v>
      </c>
      <c r="F94" s="25" t="s">
        <v>24</v>
      </c>
      <c r="G94" s="7" t="s">
        <v>605</v>
      </c>
      <c r="H94" s="8">
        <v>0.1</v>
      </c>
      <c r="I94" s="8"/>
      <c r="J94" s="8"/>
      <c r="K94" s="8"/>
      <c r="L94" s="8"/>
      <c r="M94" s="8">
        <f>SUM(H94:L94)</f>
      </c>
      <c r="N94" s="23">
        <v>46343</v>
      </c>
      <c r="O94" s="23">
        <v>46343</v>
      </c>
      <c r="P94" s="7">
        <f>NETWORKDAYS(N94,O94)</f>
      </c>
      <c r="Q94" s="7" t="s">
        <v>327</v>
      </c>
      <c r="R94" s="11" t="s">
        <v>641</v>
      </c>
      <c r="S94" s="23">
        <v>46346</v>
      </c>
      <c r="T94" s="7" t="s">
        <v>581</v>
      </c>
      <c r="U94" s="7" t="s">
        <v>607</v>
      </c>
    </row>
    <row r="95" spans="1:21" x14ac:dyDescent="0.25">
      <c r="A95" s="7" t="s">
        <v>348</v>
      </c>
      <c r="B95" s="11" t="s">
        <v>709</v>
      </c>
      <c r="C95" s="7" t="s">
        <v>321</v>
      </c>
      <c r="D95" s="11" t="s">
        <v>742</v>
      </c>
      <c r="E95" s="11" t="s">
        <v>604</v>
      </c>
      <c r="F95" s="25" t="s">
        <v>24</v>
      </c>
      <c r="G95" s="7" t="s">
        <v>605</v>
      </c>
      <c r="H95" s="8">
        <v>0.1</v>
      </c>
      <c r="I95" s="8"/>
      <c r="J95" s="8"/>
      <c r="K95" s="8"/>
      <c r="L95" s="8"/>
      <c r="M95" s="8">
        <f>SUM(H95:L95)</f>
      </c>
      <c r="N95" s="23">
        <v>46343</v>
      </c>
      <c r="O95" s="23">
        <v>46343</v>
      </c>
      <c r="P95" s="7">
        <f>NETWORKDAYS(N95,O95)</f>
      </c>
      <c r="Q95" s="7" t="s">
        <v>327</v>
      </c>
      <c r="R95" s="11" t="s">
        <v>641</v>
      </c>
      <c r="S95" s="23">
        <v>46346</v>
      </c>
      <c r="T95" s="7" t="s">
        <v>581</v>
      </c>
      <c r="U95" s="7" t="s">
        <v>607</v>
      </c>
    </row>
    <row r="96" spans="1:21" x14ac:dyDescent="0.25">
      <c r="A96" s="7" t="s">
        <v>351</v>
      </c>
      <c r="B96" s="11" t="s">
        <v>709</v>
      </c>
      <c r="C96" s="7" t="s">
        <v>321</v>
      </c>
      <c r="D96" s="11" t="s">
        <v>743</v>
      </c>
      <c r="E96" s="11" t="s">
        <v>604</v>
      </c>
      <c r="F96" s="25" t="s">
        <v>24</v>
      </c>
      <c r="G96" s="7" t="s">
        <v>605</v>
      </c>
      <c r="H96" s="8">
        <v>0.1</v>
      </c>
      <c r="I96" s="8"/>
      <c r="J96" s="8"/>
      <c r="K96" s="8"/>
      <c r="L96" s="8"/>
      <c r="M96" s="8">
        <f>SUM(H96:L96)</f>
      </c>
      <c r="N96" s="23">
        <v>46343</v>
      </c>
      <c r="O96" s="23">
        <v>46343</v>
      </c>
      <c r="P96" s="7">
        <f>NETWORKDAYS(N96,O96)</f>
      </c>
      <c r="Q96" s="7" t="s">
        <v>327</v>
      </c>
      <c r="R96" s="11" t="s">
        <v>641</v>
      </c>
      <c r="S96" s="23">
        <v>46346</v>
      </c>
      <c r="T96" s="7" t="s">
        <v>581</v>
      </c>
      <c r="U96" s="7" t="s">
        <v>607</v>
      </c>
    </row>
    <row r="97" spans="1:21" x14ac:dyDescent="0.25">
      <c r="A97" s="7" t="s">
        <v>354</v>
      </c>
      <c r="B97" s="11" t="s">
        <v>709</v>
      </c>
      <c r="C97" s="7" t="s">
        <v>321</v>
      </c>
      <c r="D97" s="11" t="s">
        <v>744</v>
      </c>
      <c r="E97" s="11" t="s">
        <v>604</v>
      </c>
      <c r="F97" s="25" t="s">
        <v>24</v>
      </c>
      <c r="G97" s="7" t="s">
        <v>605</v>
      </c>
      <c r="H97" s="8">
        <v>0.1</v>
      </c>
      <c r="I97" s="8"/>
      <c r="J97" s="8"/>
      <c r="K97" s="8"/>
      <c r="L97" s="8"/>
      <c r="M97" s="8">
        <f>SUM(H97:L97)</f>
      </c>
      <c r="N97" s="23">
        <v>46343</v>
      </c>
      <c r="O97" s="23">
        <v>46343</v>
      </c>
      <c r="P97" s="7">
        <f>NETWORKDAYS(N97,O97)</f>
      </c>
      <c r="Q97" s="7" t="s">
        <v>327</v>
      </c>
      <c r="R97" s="11" t="s">
        <v>641</v>
      </c>
      <c r="S97" s="23">
        <v>46346</v>
      </c>
      <c r="T97" s="7" t="s">
        <v>581</v>
      </c>
      <c r="U97" s="7" t="s">
        <v>607</v>
      </c>
    </row>
    <row r="98" spans="1:21" x14ac:dyDescent="0.25">
      <c r="A98" s="7" t="s">
        <v>357</v>
      </c>
      <c r="B98" s="11" t="s">
        <v>709</v>
      </c>
      <c r="C98" s="7" t="s">
        <v>321</v>
      </c>
      <c r="D98" s="11" t="s">
        <v>745</v>
      </c>
      <c r="E98" s="11" t="s">
        <v>604</v>
      </c>
      <c r="F98" s="25" t="s">
        <v>24</v>
      </c>
      <c r="G98" s="7" t="s">
        <v>605</v>
      </c>
      <c r="H98" s="8">
        <v>0.1</v>
      </c>
      <c r="I98" s="8"/>
      <c r="J98" s="8"/>
      <c r="K98" s="8"/>
      <c r="L98" s="8"/>
      <c r="M98" s="8">
        <f>SUM(H98:L98)</f>
      </c>
      <c r="N98" s="23">
        <v>46343</v>
      </c>
      <c r="O98" s="23">
        <v>46343</v>
      </c>
      <c r="P98" s="7">
        <f>NETWORKDAYS(N98,O98)</f>
      </c>
      <c r="Q98" s="7" t="s">
        <v>327</v>
      </c>
      <c r="R98" s="11" t="s">
        <v>641</v>
      </c>
      <c r="S98" s="23">
        <v>46346</v>
      </c>
      <c r="T98" s="7" t="s">
        <v>581</v>
      </c>
      <c r="U98" s="7" t="s">
        <v>607</v>
      </c>
    </row>
    <row r="99" spans="1:21" x14ac:dyDescent="0.25">
      <c r="A99" s="7" t="s">
        <v>360</v>
      </c>
      <c r="B99" s="11" t="s">
        <v>709</v>
      </c>
      <c r="C99" s="7" t="s">
        <v>321</v>
      </c>
      <c r="D99" s="11" t="s">
        <v>746</v>
      </c>
      <c r="E99" s="11" t="s">
        <v>640</v>
      </c>
      <c r="F99" s="25" t="s">
        <v>24</v>
      </c>
      <c r="G99" s="7" t="s">
        <v>605</v>
      </c>
      <c r="H99" s="8">
        <v>0.25</v>
      </c>
      <c r="I99" s="8"/>
      <c r="J99" s="8"/>
      <c r="K99" s="8"/>
      <c r="L99" s="8"/>
      <c r="M99" s="8">
        <f>SUM(H99:L99)</f>
      </c>
      <c r="N99" s="23">
        <v>46343</v>
      </c>
      <c r="O99" s="23">
        <v>46343</v>
      </c>
      <c r="P99" s="7">
        <f>NETWORKDAYS(N99,O99)</f>
      </c>
      <c r="Q99" s="7" t="s">
        <v>327</v>
      </c>
      <c r="R99" s="11" t="s">
        <v>641</v>
      </c>
      <c r="S99" s="23">
        <v>46346</v>
      </c>
      <c r="T99" s="7" t="s">
        <v>581</v>
      </c>
      <c r="U99" s="7" t="s">
        <v>607</v>
      </c>
    </row>
    <row r="100" spans="1:21" x14ac:dyDescent="0.25">
      <c r="A100" s="7" t="s">
        <v>398</v>
      </c>
      <c r="B100" s="11" t="s">
        <v>709</v>
      </c>
      <c r="C100" s="7" t="s">
        <v>386</v>
      </c>
      <c r="D100" s="11" t="s">
        <v>747</v>
      </c>
      <c r="E100" s="11" t="s">
        <v>645</v>
      </c>
      <c r="F100" s="21" t="s">
        <v>27</v>
      </c>
      <c r="G100" s="7" t="s">
        <v>31</v>
      </c>
      <c r="H100" s="8"/>
      <c r="I100" s="8">
        <v>1</v>
      </c>
      <c r="J100" s="8"/>
      <c r="K100" s="8"/>
      <c r="L100" s="8"/>
      <c r="M100" s="8">
        <f>SUM(H100:L100)</f>
      </c>
      <c r="N100" s="23">
        <v>46343</v>
      </c>
      <c r="O100" s="23">
        <v>46344</v>
      </c>
      <c r="P100" s="7">
        <f>NETWORKDAYS(N100,O100)</f>
      </c>
      <c r="Q100" s="7" t="s">
        <v>719</v>
      </c>
      <c r="R100" s="11" t="s">
        <v>748</v>
      </c>
      <c r="S100" s="23">
        <v>46346</v>
      </c>
      <c r="T100" s="7" t="s">
        <v>581</v>
      </c>
      <c r="U100" s="7" t="s">
        <v>616</v>
      </c>
    </row>
    <row r="101" spans="1:21" x14ac:dyDescent="0.25">
      <c r="A101" s="7" t="s">
        <v>363</v>
      </c>
      <c r="B101" s="11" t="s">
        <v>709</v>
      </c>
      <c r="C101" s="7" t="s">
        <v>321</v>
      </c>
      <c r="D101" s="11" t="s">
        <v>749</v>
      </c>
      <c r="E101" s="11" t="s">
        <v>640</v>
      </c>
      <c r="F101" s="25" t="s">
        <v>24</v>
      </c>
      <c r="G101" s="7" t="s">
        <v>605</v>
      </c>
      <c r="H101" s="8">
        <v>0.25</v>
      </c>
      <c r="I101" s="8"/>
      <c r="J101" s="8"/>
      <c r="K101" s="8"/>
      <c r="L101" s="8"/>
      <c r="M101" s="8">
        <f>SUM(H101:L101)</f>
      </c>
      <c r="N101" s="23">
        <v>46344</v>
      </c>
      <c r="O101" s="23">
        <v>46344</v>
      </c>
      <c r="P101" s="7">
        <f>NETWORKDAYS(N101,O101)</f>
      </c>
      <c r="Q101" s="7" t="s">
        <v>617</v>
      </c>
      <c r="R101" s="11" t="s">
        <v>606</v>
      </c>
      <c r="S101" s="23">
        <v>46346</v>
      </c>
      <c r="T101" s="7" t="s">
        <v>581</v>
      </c>
      <c r="U101" s="7" t="s">
        <v>607</v>
      </c>
    </row>
    <row r="102" spans="1:21" x14ac:dyDescent="0.25">
      <c r="A102" s="7" t="s">
        <v>367</v>
      </c>
      <c r="B102" s="11" t="s">
        <v>709</v>
      </c>
      <c r="C102" s="7" t="s">
        <v>321</v>
      </c>
      <c r="D102" s="11" t="s">
        <v>750</v>
      </c>
      <c r="E102" s="11" t="s">
        <v>604</v>
      </c>
      <c r="F102" s="25" t="s">
        <v>24</v>
      </c>
      <c r="G102" s="7" t="s">
        <v>605</v>
      </c>
      <c r="H102" s="8">
        <v>0.1</v>
      </c>
      <c r="I102" s="8"/>
      <c r="J102" s="8"/>
      <c r="K102" s="8"/>
      <c r="L102" s="8"/>
      <c r="M102" s="8">
        <f>SUM(H102:L102)</f>
      </c>
      <c r="N102" s="23">
        <v>46344</v>
      </c>
      <c r="O102" s="23">
        <v>46344</v>
      </c>
      <c r="P102" s="7">
        <f>NETWORKDAYS(N102,O102)</f>
      </c>
      <c r="Q102" s="7" t="s">
        <v>583</v>
      </c>
      <c r="R102" s="11" t="s">
        <v>606</v>
      </c>
      <c r="S102" s="23">
        <v>46346</v>
      </c>
      <c r="T102" s="7" t="s">
        <v>581</v>
      </c>
      <c r="U102" s="7" t="s">
        <v>607</v>
      </c>
    </row>
    <row r="103" spans="1:21" x14ac:dyDescent="0.25">
      <c r="A103" s="7" t="s">
        <v>371</v>
      </c>
      <c r="B103" s="11" t="s">
        <v>709</v>
      </c>
      <c r="C103" s="7" t="s">
        <v>372</v>
      </c>
      <c r="D103" s="11" t="s">
        <v>751</v>
      </c>
      <c r="E103" s="11" t="s">
        <v>604</v>
      </c>
      <c r="F103" s="25" t="s">
        <v>24</v>
      </c>
      <c r="G103" s="7" t="s">
        <v>605</v>
      </c>
      <c r="H103" s="8">
        <v>0.1</v>
      </c>
      <c r="I103" s="8"/>
      <c r="J103" s="8"/>
      <c r="K103" s="8"/>
      <c r="L103" s="8"/>
      <c r="M103" s="8">
        <f>SUM(H103:L103)</f>
      </c>
      <c r="N103" s="23">
        <v>46344</v>
      </c>
      <c r="O103" s="23">
        <v>46344</v>
      </c>
      <c r="P103" s="7">
        <f>NETWORKDAYS(N103,O103)</f>
      </c>
      <c r="Q103" s="7" t="s">
        <v>583</v>
      </c>
      <c r="R103" s="11" t="s">
        <v>641</v>
      </c>
      <c r="S103" s="23">
        <v>46346</v>
      </c>
      <c r="T103" s="7" t="s">
        <v>581</v>
      </c>
      <c r="U103" s="7" t="s">
        <v>607</v>
      </c>
    </row>
    <row r="104" spans="1:21" x14ac:dyDescent="0.25">
      <c r="A104" s="7" t="s">
        <v>377</v>
      </c>
      <c r="B104" s="11" t="s">
        <v>709</v>
      </c>
      <c r="C104" s="7" t="s">
        <v>372</v>
      </c>
      <c r="D104" s="11" t="s">
        <v>752</v>
      </c>
      <c r="E104" s="11" t="s">
        <v>643</v>
      </c>
      <c r="F104" s="25" t="s">
        <v>24</v>
      </c>
      <c r="G104" s="7" t="s">
        <v>605</v>
      </c>
      <c r="H104" s="8">
        <v>0.25</v>
      </c>
      <c r="I104" s="8"/>
      <c r="J104" s="8"/>
      <c r="K104" s="8"/>
      <c r="L104" s="8"/>
      <c r="M104" s="8">
        <f>SUM(H104:L104)</f>
      </c>
      <c r="N104" s="23">
        <v>46344</v>
      </c>
      <c r="O104" s="23">
        <v>46344</v>
      </c>
      <c r="P104" s="7">
        <f>NETWORKDAYS(N104,O104)</f>
      </c>
      <c r="Q104" s="7" t="s">
        <v>617</v>
      </c>
      <c r="R104" s="11" t="s">
        <v>606</v>
      </c>
      <c r="S104" s="23">
        <v>46346</v>
      </c>
      <c r="T104" s="7" t="s">
        <v>581</v>
      </c>
      <c r="U104" s="7" t="s">
        <v>607</v>
      </c>
    </row>
    <row r="105" spans="1:21" x14ac:dyDescent="0.25">
      <c r="A105" s="7" t="s">
        <v>380</v>
      </c>
      <c r="B105" s="11" t="s">
        <v>709</v>
      </c>
      <c r="C105" s="7" t="s">
        <v>372</v>
      </c>
      <c r="D105" s="11" t="s">
        <v>753</v>
      </c>
      <c r="E105" s="11" t="s">
        <v>643</v>
      </c>
      <c r="F105" s="25" t="s">
        <v>24</v>
      </c>
      <c r="G105" s="7" t="s">
        <v>605</v>
      </c>
      <c r="H105" s="8">
        <v>0.25</v>
      </c>
      <c r="I105" s="8"/>
      <c r="J105" s="8"/>
      <c r="K105" s="8"/>
      <c r="L105" s="8"/>
      <c r="M105" s="8">
        <f>SUM(H105:L105)</f>
      </c>
      <c r="N105" s="23">
        <v>46344</v>
      </c>
      <c r="O105" s="23">
        <v>46344</v>
      </c>
      <c r="P105" s="7">
        <f>NETWORKDAYS(N105,O105)</f>
      </c>
      <c r="Q105" s="7" t="s">
        <v>617</v>
      </c>
      <c r="R105" s="11" t="s">
        <v>606</v>
      </c>
      <c r="S105" s="23">
        <v>46346</v>
      </c>
      <c r="T105" s="7" t="s">
        <v>581</v>
      </c>
      <c r="U105" s="7" t="s">
        <v>607</v>
      </c>
    </row>
    <row r="106" spans="1:21" x14ac:dyDescent="0.25">
      <c r="A106" s="7" t="s">
        <v>385</v>
      </c>
      <c r="B106" s="11" t="s">
        <v>709</v>
      </c>
      <c r="C106" s="7" t="s">
        <v>386</v>
      </c>
      <c r="D106" s="11" t="s">
        <v>754</v>
      </c>
      <c r="E106" s="11" t="s">
        <v>643</v>
      </c>
      <c r="F106" s="25" t="s">
        <v>24</v>
      </c>
      <c r="G106" s="7" t="s">
        <v>605</v>
      </c>
      <c r="H106" s="8">
        <v>0.25</v>
      </c>
      <c r="I106" s="8"/>
      <c r="J106" s="8"/>
      <c r="K106" s="8"/>
      <c r="L106" s="8"/>
      <c r="M106" s="8">
        <f>SUM(H106:L106)</f>
      </c>
      <c r="N106" s="23">
        <v>46344</v>
      </c>
      <c r="O106" s="23">
        <v>46345</v>
      </c>
      <c r="P106" s="7">
        <f>NETWORKDAYS(N106,O106)</f>
      </c>
      <c r="Q106" s="7" t="s">
        <v>391</v>
      </c>
      <c r="R106" s="11" t="s">
        <v>606</v>
      </c>
      <c r="S106" s="23">
        <v>46346</v>
      </c>
      <c r="T106" s="7" t="s">
        <v>581</v>
      </c>
      <c r="U106" s="7" t="s">
        <v>607</v>
      </c>
    </row>
    <row r="107" spans="1:21" x14ac:dyDescent="0.25">
      <c r="A107" s="7" t="s">
        <v>392</v>
      </c>
      <c r="B107" s="11" t="s">
        <v>709</v>
      </c>
      <c r="C107" s="7" t="s">
        <v>386</v>
      </c>
      <c r="D107" s="11" t="s">
        <v>755</v>
      </c>
      <c r="E107" s="11" t="s">
        <v>643</v>
      </c>
      <c r="F107" s="25" t="s">
        <v>24</v>
      </c>
      <c r="G107" s="7" t="s">
        <v>605</v>
      </c>
      <c r="H107" s="8">
        <v>0.5</v>
      </c>
      <c r="I107" s="8"/>
      <c r="J107" s="8"/>
      <c r="K107" s="8"/>
      <c r="L107" s="8"/>
      <c r="M107" s="8">
        <f>SUM(H107:L107)</f>
      </c>
      <c r="N107" s="23">
        <v>46345</v>
      </c>
      <c r="O107" s="23">
        <v>46345</v>
      </c>
      <c r="P107" s="7">
        <f>NETWORKDAYS(N107,O107)</f>
      </c>
      <c r="Q107" s="7" t="s">
        <v>391</v>
      </c>
      <c r="R107" s="11" t="s">
        <v>606</v>
      </c>
      <c r="S107" s="23">
        <v>46346</v>
      </c>
      <c r="T107" s="7" t="s">
        <v>581</v>
      </c>
      <c r="U107" s="7" t="s">
        <v>607</v>
      </c>
    </row>
    <row r="108" spans="1:21" x14ac:dyDescent="0.25">
      <c r="A108" s="7" t="s">
        <v>395</v>
      </c>
      <c r="B108" s="11" t="s">
        <v>709</v>
      </c>
      <c r="C108" s="7" t="s">
        <v>386</v>
      </c>
      <c r="D108" s="11" t="s">
        <v>756</v>
      </c>
      <c r="E108" s="11" t="s">
        <v>640</v>
      </c>
      <c r="F108" s="25" t="s">
        <v>24</v>
      </c>
      <c r="G108" s="7" t="s">
        <v>605</v>
      </c>
      <c r="H108" s="8">
        <v>0.25</v>
      </c>
      <c r="I108" s="8"/>
      <c r="J108" s="8"/>
      <c r="K108" s="8"/>
      <c r="L108" s="8"/>
      <c r="M108" s="8">
        <f>SUM(H108:L108)</f>
      </c>
      <c r="N108" s="23">
        <v>46345</v>
      </c>
      <c r="O108" s="23">
        <v>46346</v>
      </c>
      <c r="P108" s="7">
        <f>NETWORKDAYS(N108,O108)</f>
      </c>
      <c r="Q108" s="7" t="s">
        <v>398</v>
      </c>
      <c r="R108" s="11" t="s">
        <v>641</v>
      </c>
      <c r="S108" s="23">
        <v>46346</v>
      </c>
      <c r="T108" s="7" t="s">
        <v>581</v>
      </c>
      <c r="U108" s="7" t="s">
        <v>607</v>
      </c>
    </row>
    <row r="109" spans="1:21" x14ac:dyDescent="0.25">
      <c r="A109" s="7" t="s">
        <v>757</v>
      </c>
      <c r="B109" s="11" t="s">
        <v>709</v>
      </c>
      <c r="C109" s="7" t="s">
        <v>758</v>
      </c>
      <c r="D109" s="11" t="s">
        <v>759</v>
      </c>
      <c r="E109" s="11" t="s">
        <v>760</v>
      </c>
      <c r="F109" s="25" t="s">
        <v>24</v>
      </c>
      <c r="G109" s="7" t="s">
        <v>579</v>
      </c>
      <c r="H109" s="8">
        <v>0.5</v>
      </c>
      <c r="I109" s="8">
        <v>0.25</v>
      </c>
      <c r="J109" s="8"/>
      <c r="K109" s="8"/>
      <c r="L109" s="8">
        <v>0.5</v>
      </c>
      <c r="M109" s="8">
        <f>SUM(H109:L109)</f>
      </c>
      <c r="N109" s="23">
        <v>46345</v>
      </c>
      <c r="O109" s="23">
        <v>46346</v>
      </c>
      <c r="P109" s="7">
        <f>NETWORKDAYS(N109,O109)</f>
      </c>
      <c r="Q109" s="7" t="s">
        <v>761</v>
      </c>
      <c r="R109" s="11" t="s">
        <v>762</v>
      </c>
      <c r="S109" s="23"/>
      <c r="T109" s="7" t="s">
        <v>581</v>
      </c>
      <c r="U109" s="7" t="s">
        <v>698</v>
      </c>
    </row>
    <row r="110" spans="1:21" x14ac:dyDescent="0.25">
      <c r="A110" s="7" t="s">
        <v>399</v>
      </c>
      <c r="B110" s="11" t="s">
        <v>709</v>
      </c>
      <c r="C110" s="7" t="s">
        <v>386</v>
      </c>
      <c r="D110" s="11" t="s">
        <v>763</v>
      </c>
      <c r="E110" s="11" t="s">
        <v>643</v>
      </c>
      <c r="F110" s="25" t="s">
        <v>24</v>
      </c>
      <c r="G110" s="7" t="s">
        <v>605</v>
      </c>
      <c r="H110" s="8">
        <v>0.5</v>
      </c>
      <c r="I110" s="8"/>
      <c r="J110" s="8"/>
      <c r="K110" s="8"/>
      <c r="L110" s="8"/>
      <c r="M110" s="8">
        <f>SUM(H110:L110)</f>
      </c>
      <c r="N110" s="23">
        <v>46346</v>
      </c>
      <c r="O110" s="23">
        <v>46346</v>
      </c>
      <c r="P110" s="7">
        <f>NETWORKDAYS(N110,O110)</f>
      </c>
      <c r="Q110" s="7" t="s">
        <v>398</v>
      </c>
      <c r="R110" s="11" t="s">
        <v>641</v>
      </c>
      <c r="S110" s="23">
        <v>46346</v>
      </c>
      <c r="T110" s="7" t="s">
        <v>581</v>
      </c>
      <c r="U110" s="7" t="s">
        <v>607</v>
      </c>
    </row>
    <row r="111" spans="1:21" x14ac:dyDescent="0.25">
      <c r="A111" s="28" t="s">
        <v>431</v>
      </c>
      <c r="B111" s="31" t="s">
        <v>709</v>
      </c>
      <c r="C111" s="28" t="s">
        <v>419</v>
      </c>
      <c r="D111" s="31" t="s">
        <v>764</v>
      </c>
      <c r="E111" s="31" t="s">
        <v>643</v>
      </c>
      <c r="F111" s="32" t="s">
        <v>24</v>
      </c>
      <c r="G111" s="28" t="s">
        <v>605</v>
      </c>
      <c r="H111" s="33">
        <v>0.25</v>
      </c>
      <c r="I111" s="8"/>
      <c r="J111" s="8"/>
      <c r="K111" s="8"/>
      <c r="L111" s="8"/>
      <c r="M111" s="33">
        <f>SUM(H111:L111)</f>
      </c>
      <c r="N111" s="34">
        <v>46346</v>
      </c>
      <c r="O111" s="34">
        <v>46347</v>
      </c>
      <c r="P111" s="28">
        <f>NETWORKDAYS(N111,O111)</f>
      </c>
      <c r="Q111" s="28" t="s">
        <v>424</v>
      </c>
      <c r="R111" s="31" t="s">
        <v>641</v>
      </c>
      <c r="S111" s="34">
        <v>46346</v>
      </c>
      <c r="T111" s="28" t="s">
        <v>581</v>
      </c>
      <c r="U111" s="28" t="s">
        <v>607</v>
      </c>
    </row>
    <row r="112" spans="1:21" x14ac:dyDescent="0.25">
      <c r="A112" s="28" t="s">
        <v>435</v>
      </c>
      <c r="B112" s="31" t="s">
        <v>709</v>
      </c>
      <c r="C112" s="28" t="s">
        <v>419</v>
      </c>
      <c r="D112" s="31" t="s">
        <v>765</v>
      </c>
      <c r="E112" s="31" t="s">
        <v>643</v>
      </c>
      <c r="F112" s="32" t="s">
        <v>24</v>
      </c>
      <c r="G112" s="28" t="s">
        <v>605</v>
      </c>
      <c r="H112" s="33">
        <v>0.25</v>
      </c>
      <c r="I112" s="8"/>
      <c r="J112" s="8"/>
      <c r="K112" s="8"/>
      <c r="L112" s="8"/>
      <c r="M112" s="33">
        <f>SUM(H112:L112)</f>
      </c>
      <c r="N112" s="34">
        <v>46347</v>
      </c>
      <c r="O112" s="34">
        <v>46347</v>
      </c>
      <c r="P112" s="28">
        <f>NETWORKDAYS(N112,O112)</f>
      </c>
      <c r="Q112" s="28" t="s">
        <v>438</v>
      </c>
      <c r="R112" s="31" t="s">
        <v>606</v>
      </c>
      <c r="S112" s="34">
        <v>46346</v>
      </c>
      <c r="T112" s="28" t="s">
        <v>581</v>
      </c>
      <c r="U112" s="28" t="s">
        <v>607</v>
      </c>
    </row>
    <row r="113" spans="1:21" x14ac:dyDescent="0.25">
      <c r="A113" s="7" t="s">
        <v>766</v>
      </c>
      <c r="B113" s="11" t="s">
        <v>767</v>
      </c>
      <c r="C113" s="7" t="s">
        <v>768</v>
      </c>
      <c r="D113" s="11" t="s">
        <v>769</v>
      </c>
      <c r="E113" s="11" t="s">
        <v>770</v>
      </c>
      <c r="F113" s="27" t="s">
        <v>36</v>
      </c>
      <c r="G113" s="7" t="s">
        <v>579</v>
      </c>
      <c r="H113" s="8"/>
      <c r="I113" s="8"/>
      <c r="J113" s="8"/>
      <c r="K113" s="8"/>
      <c r="L113" s="8">
        <v>0.75</v>
      </c>
      <c r="M113" s="8">
        <f>SUM(H113:L113)</f>
      </c>
      <c r="N113" s="23">
        <v>46332</v>
      </c>
      <c r="O113" s="23">
        <v>46337</v>
      </c>
      <c r="P113" s="7">
        <f>NETWORKDAYS(N113,O113)</f>
      </c>
      <c r="Q113" s="7" t="s">
        <v>719</v>
      </c>
      <c r="R113" s="11" t="s">
        <v>718</v>
      </c>
      <c r="S113" s="23"/>
      <c r="T113" s="7" t="s">
        <v>581</v>
      </c>
      <c r="U113" s="7" t="s">
        <v>582</v>
      </c>
    </row>
    <row r="114" spans="1:21" x14ac:dyDescent="0.25">
      <c r="A114" s="7" t="s">
        <v>486</v>
      </c>
      <c r="B114" s="11" t="s">
        <v>767</v>
      </c>
      <c r="C114" s="7" t="s">
        <v>771</v>
      </c>
      <c r="D114" s="11" t="s">
        <v>772</v>
      </c>
      <c r="E114" s="11" t="s">
        <v>773</v>
      </c>
      <c r="F114" s="21" t="s">
        <v>27</v>
      </c>
      <c r="G114" s="7" t="s">
        <v>31</v>
      </c>
      <c r="H114" s="8"/>
      <c r="I114" s="8">
        <v>2</v>
      </c>
      <c r="J114" s="8"/>
      <c r="K114" s="8"/>
      <c r="L114" s="8"/>
      <c r="M114" s="8">
        <f>SUM(H114:L114)</f>
      </c>
      <c r="N114" s="23">
        <v>46340</v>
      </c>
      <c r="O114" s="23">
        <v>46347</v>
      </c>
      <c r="P114" s="7">
        <f>NETWORKDAYS(N114,O114)</f>
      </c>
      <c r="Q114" s="7" t="s">
        <v>774</v>
      </c>
      <c r="R114" s="11" t="s">
        <v>775</v>
      </c>
      <c r="S114" s="23">
        <v>46353</v>
      </c>
      <c r="T114" s="7" t="s">
        <v>581</v>
      </c>
      <c r="U114" s="7" t="s">
        <v>616</v>
      </c>
    </row>
    <row r="115" spans="1:21" x14ac:dyDescent="0.25">
      <c r="A115" s="7" t="s">
        <v>446</v>
      </c>
      <c r="B115" s="11" t="s">
        <v>767</v>
      </c>
      <c r="C115" s="7" t="s">
        <v>440</v>
      </c>
      <c r="D115" s="11" t="s">
        <v>776</v>
      </c>
      <c r="E115" s="11" t="s">
        <v>645</v>
      </c>
      <c r="F115" s="21" t="s">
        <v>27</v>
      </c>
      <c r="G115" s="7" t="s">
        <v>31</v>
      </c>
      <c r="H115" s="8"/>
      <c r="I115" s="8">
        <v>1.5</v>
      </c>
      <c r="J115" s="8"/>
      <c r="K115" s="8"/>
      <c r="L115" s="8"/>
      <c r="M115" s="8">
        <f>SUM(H115:L115)</f>
      </c>
      <c r="N115" s="23">
        <v>46345</v>
      </c>
      <c r="O115" s="23">
        <v>46349</v>
      </c>
      <c r="P115" s="7">
        <f>NETWORKDAYS(N115,O115)</f>
      </c>
      <c r="Q115" s="7" t="s">
        <v>766</v>
      </c>
      <c r="R115" s="11" t="s">
        <v>777</v>
      </c>
      <c r="S115" s="23">
        <v>46353</v>
      </c>
      <c r="T115" s="7" t="s">
        <v>581</v>
      </c>
      <c r="U115" s="7" t="s">
        <v>616</v>
      </c>
    </row>
    <row r="116" spans="1:21" x14ac:dyDescent="0.25">
      <c r="A116" s="7" t="s">
        <v>439</v>
      </c>
      <c r="B116" s="11" t="s">
        <v>767</v>
      </c>
      <c r="C116" s="7" t="s">
        <v>440</v>
      </c>
      <c r="D116" s="11" t="s">
        <v>778</v>
      </c>
      <c r="E116" s="11" t="s">
        <v>643</v>
      </c>
      <c r="F116" s="25" t="s">
        <v>24</v>
      </c>
      <c r="G116" s="7" t="s">
        <v>605</v>
      </c>
      <c r="H116" s="8">
        <v>0.5</v>
      </c>
      <c r="I116" s="8"/>
      <c r="J116" s="8"/>
      <c r="K116" s="8"/>
      <c r="L116" s="8"/>
      <c r="M116" s="8">
        <f>SUM(H116:L116)</f>
      </c>
      <c r="N116" s="23">
        <v>46349</v>
      </c>
      <c r="O116" s="23">
        <v>46349</v>
      </c>
      <c r="P116" s="7">
        <f>NETWORKDAYS(N116,O116)</f>
      </c>
      <c r="Q116" s="7" t="s">
        <v>446</v>
      </c>
      <c r="R116" s="11" t="s">
        <v>641</v>
      </c>
      <c r="S116" s="23">
        <v>46353</v>
      </c>
      <c r="T116" s="7" t="s">
        <v>581</v>
      </c>
      <c r="U116" s="7" t="s">
        <v>607</v>
      </c>
    </row>
    <row r="117" spans="1:21" x14ac:dyDescent="0.25">
      <c r="A117" s="7" t="s">
        <v>447</v>
      </c>
      <c r="B117" s="11" t="s">
        <v>767</v>
      </c>
      <c r="C117" s="7" t="s">
        <v>440</v>
      </c>
      <c r="D117" s="11" t="s">
        <v>779</v>
      </c>
      <c r="E117" s="11" t="s">
        <v>643</v>
      </c>
      <c r="F117" s="25" t="s">
        <v>24</v>
      </c>
      <c r="G117" s="7" t="s">
        <v>605</v>
      </c>
      <c r="H117" s="8">
        <v>0.25</v>
      </c>
      <c r="I117" s="8"/>
      <c r="J117" s="8"/>
      <c r="K117" s="8"/>
      <c r="L117" s="8"/>
      <c r="M117" s="8">
        <f>SUM(H117:L117)</f>
      </c>
      <c r="N117" s="23">
        <v>46349</v>
      </c>
      <c r="O117" s="23">
        <v>46349</v>
      </c>
      <c r="P117" s="7">
        <f>NETWORKDAYS(N117,O117)</f>
      </c>
      <c r="Q117" s="7" t="s">
        <v>446</v>
      </c>
      <c r="R117" s="11" t="s">
        <v>641</v>
      </c>
      <c r="S117" s="23">
        <v>46353</v>
      </c>
      <c r="T117" s="7" t="s">
        <v>581</v>
      </c>
      <c r="U117" s="7" t="s">
        <v>607</v>
      </c>
    </row>
    <row r="118" spans="1:21" x14ac:dyDescent="0.25">
      <c r="A118" s="7" t="s">
        <v>450</v>
      </c>
      <c r="B118" s="11" t="s">
        <v>767</v>
      </c>
      <c r="C118" s="7" t="s">
        <v>440</v>
      </c>
      <c r="D118" s="11" t="s">
        <v>780</v>
      </c>
      <c r="E118" s="11" t="s">
        <v>643</v>
      </c>
      <c r="F118" s="25" t="s">
        <v>24</v>
      </c>
      <c r="G118" s="7" t="s">
        <v>605</v>
      </c>
      <c r="H118" s="8">
        <v>0.25</v>
      </c>
      <c r="I118" s="8"/>
      <c r="J118" s="8"/>
      <c r="K118" s="8"/>
      <c r="L118" s="8"/>
      <c r="M118" s="8">
        <f>SUM(H118:L118)</f>
      </c>
      <c r="N118" s="23">
        <v>46349</v>
      </c>
      <c r="O118" s="23">
        <v>46349</v>
      </c>
      <c r="P118" s="7">
        <f>NETWORKDAYS(N118,O118)</f>
      </c>
      <c r="Q118" s="7" t="s">
        <v>391</v>
      </c>
      <c r="R118" s="11" t="s">
        <v>606</v>
      </c>
      <c r="S118" s="23">
        <v>46353</v>
      </c>
      <c r="T118" s="7" t="s">
        <v>581</v>
      </c>
      <c r="U118" s="7" t="s">
        <v>607</v>
      </c>
    </row>
    <row r="119" spans="1:21" x14ac:dyDescent="0.25">
      <c r="A119" s="7" t="s">
        <v>459</v>
      </c>
      <c r="B119" s="11" t="s">
        <v>767</v>
      </c>
      <c r="C119" s="7" t="s">
        <v>454</v>
      </c>
      <c r="D119" s="11" t="s">
        <v>781</v>
      </c>
      <c r="E119" s="11" t="s">
        <v>645</v>
      </c>
      <c r="F119" s="21" t="s">
        <v>27</v>
      </c>
      <c r="G119" s="7" t="s">
        <v>31</v>
      </c>
      <c r="H119" s="8"/>
      <c r="I119" s="8">
        <v>1.5</v>
      </c>
      <c r="J119" s="8"/>
      <c r="K119" s="8"/>
      <c r="L119" s="8"/>
      <c r="M119" s="8">
        <f>SUM(H119:L119)</f>
      </c>
      <c r="N119" s="23">
        <v>46349</v>
      </c>
      <c r="O119" s="23">
        <v>46350</v>
      </c>
      <c r="P119" s="7">
        <f>NETWORKDAYS(N119,O119)</f>
      </c>
      <c r="Q119" s="7" t="s">
        <v>766</v>
      </c>
      <c r="R119" s="11" t="s">
        <v>782</v>
      </c>
      <c r="S119" s="23">
        <v>46353</v>
      </c>
      <c r="T119" s="7" t="s">
        <v>581</v>
      </c>
      <c r="U119" s="7" t="s">
        <v>616</v>
      </c>
    </row>
    <row r="120" spans="1:21" x14ac:dyDescent="0.25">
      <c r="A120" s="7" t="s">
        <v>453</v>
      </c>
      <c r="B120" s="11" t="s">
        <v>767</v>
      </c>
      <c r="C120" s="7" t="s">
        <v>454</v>
      </c>
      <c r="D120" s="11" t="s">
        <v>783</v>
      </c>
      <c r="E120" s="11" t="s">
        <v>643</v>
      </c>
      <c r="F120" s="25" t="s">
        <v>24</v>
      </c>
      <c r="G120" s="7" t="s">
        <v>605</v>
      </c>
      <c r="H120" s="8">
        <v>0.5</v>
      </c>
      <c r="I120" s="8"/>
      <c r="J120" s="8"/>
      <c r="K120" s="8"/>
      <c r="L120" s="8"/>
      <c r="M120" s="8">
        <f>SUM(H120:L120)</f>
      </c>
      <c r="N120" s="23">
        <v>46350</v>
      </c>
      <c r="O120" s="23">
        <v>46350</v>
      </c>
      <c r="P120" s="7">
        <f>NETWORKDAYS(N120,O120)</f>
      </c>
      <c r="Q120" s="7" t="s">
        <v>459</v>
      </c>
      <c r="R120" s="11" t="s">
        <v>606</v>
      </c>
      <c r="S120" s="23">
        <v>46353</v>
      </c>
      <c r="T120" s="7" t="s">
        <v>581</v>
      </c>
      <c r="U120" s="7" t="s">
        <v>607</v>
      </c>
    </row>
    <row r="121" spans="1:21" x14ac:dyDescent="0.25">
      <c r="A121" s="7" t="s">
        <v>460</v>
      </c>
      <c r="B121" s="11" t="s">
        <v>767</v>
      </c>
      <c r="C121" s="7" t="s">
        <v>454</v>
      </c>
      <c r="D121" s="11" t="s">
        <v>784</v>
      </c>
      <c r="E121" s="11" t="s">
        <v>643</v>
      </c>
      <c r="F121" s="25" t="s">
        <v>24</v>
      </c>
      <c r="G121" s="7" t="s">
        <v>605</v>
      </c>
      <c r="H121" s="8">
        <v>0.25</v>
      </c>
      <c r="I121" s="8"/>
      <c r="J121" s="8"/>
      <c r="K121" s="8"/>
      <c r="L121" s="8"/>
      <c r="M121" s="8">
        <f>SUM(H121:L121)</f>
      </c>
      <c r="N121" s="23">
        <v>46350</v>
      </c>
      <c r="O121" s="23">
        <v>46350</v>
      </c>
      <c r="P121" s="7">
        <f>NETWORKDAYS(N121,O121)</f>
      </c>
      <c r="Q121" s="7" t="s">
        <v>459</v>
      </c>
      <c r="R121" s="11" t="s">
        <v>641</v>
      </c>
      <c r="S121" s="23">
        <v>46353</v>
      </c>
      <c r="T121" s="7" t="s">
        <v>581</v>
      </c>
      <c r="U121" s="7" t="s">
        <v>607</v>
      </c>
    </row>
    <row r="122" spans="1:21" x14ac:dyDescent="0.25">
      <c r="A122" s="7" t="s">
        <v>480</v>
      </c>
      <c r="B122" s="11" t="s">
        <v>767</v>
      </c>
      <c r="C122" s="7" t="s">
        <v>481</v>
      </c>
      <c r="D122" s="11" t="s">
        <v>785</v>
      </c>
      <c r="E122" s="11" t="s">
        <v>643</v>
      </c>
      <c r="F122" s="25" t="s">
        <v>24</v>
      </c>
      <c r="G122" s="7" t="s">
        <v>605</v>
      </c>
      <c r="H122" s="8">
        <v>0.25</v>
      </c>
      <c r="I122" s="8"/>
      <c r="J122" s="8"/>
      <c r="K122" s="8"/>
      <c r="L122" s="8"/>
      <c r="M122" s="8">
        <f>SUM(H122:L122)</f>
      </c>
      <c r="N122" s="23">
        <v>46350</v>
      </c>
      <c r="O122" s="23">
        <v>46350</v>
      </c>
      <c r="P122" s="7">
        <f>NETWORKDAYS(N122,O122)</f>
      </c>
      <c r="Q122" s="7" t="s">
        <v>486</v>
      </c>
      <c r="R122" s="11" t="s">
        <v>641</v>
      </c>
      <c r="S122" s="23">
        <v>46353</v>
      </c>
      <c r="T122" s="7" t="s">
        <v>581</v>
      </c>
      <c r="U122" s="7" t="s">
        <v>607</v>
      </c>
    </row>
    <row r="123" spans="1:21" x14ac:dyDescent="0.25">
      <c r="A123" s="7" t="s">
        <v>468</v>
      </c>
      <c r="B123" s="11" t="s">
        <v>767</v>
      </c>
      <c r="C123" s="7" t="s">
        <v>454</v>
      </c>
      <c r="D123" s="11" t="s">
        <v>786</v>
      </c>
      <c r="E123" s="11" t="s">
        <v>645</v>
      </c>
      <c r="F123" s="21" t="s">
        <v>27</v>
      </c>
      <c r="G123" s="7" t="s">
        <v>31</v>
      </c>
      <c r="H123" s="8"/>
      <c r="I123" s="8">
        <v>0.5</v>
      </c>
      <c r="J123" s="8"/>
      <c r="K123" s="8"/>
      <c r="L123" s="8"/>
      <c r="M123" s="8">
        <f>SUM(H123:L123)</f>
      </c>
      <c r="N123" s="23">
        <v>46350</v>
      </c>
      <c r="O123" s="23">
        <v>46351</v>
      </c>
      <c r="P123" s="7">
        <f>NETWORKDAYS(N123,O123)</f>
      </c>
      <c r="Q123" s="7" t="s">
        <v>459</v>
      </c>
      <c r="R123" s="11" t="s">
        <v>787</v>
      </c>
      <c r="S123" s="23">
        <v>46353</v>
      </c>
      <c r="T123" s="7" t="s">
        <v>581</v>
      </c>
      <c r="U123" s="7" t="s">
        <v>616</v>
      </c>
    </row>
    <row r="124" spans="1:21" x14ac:dyDescent="0.25">
      <c r="A124" s="7" t="s">
        <v>463</v>
      </c>
      <c r="B124" s="11" t="s">
        <v>767</v>
      </c>
      <c r="C124" s="7" t="s">
        <v>454</v>
      </c>
      <c r="D124" s="11" t="s">
        <v>788</v>
      </c>
      <c r="E124" s="11" t="s">
        <v>643</v>
      </c>
      <c r="F124" s="25" t="s">
        <v>24</v>
      </c>
      <c r="G124" s="7" t="s">
        <v>605</v>
      </c>
      <c r="H124" s="8">
        <v>0.25</v>
      </c>
      <c r="I124" s="8"/>
      <c r="J124" s="8"/>
      <c r="K124" s="8"/>
      <c r="L124" s="8"/>
      <c r="M124" s="8">
        <f>SUM(H124:L124)</f>
      </c>
      <c r="N124" s="23">
        <v>46351</v>
      </c>
      <c r="O124" s="23">
        <v>46351</v>
      </c>
      <c r="P124" s="7">
        <f>NETWORKDAYS(N124,O124)</f>
      </c>
      <c r="Q124" s="7" t="s">
        <v>468</v>
      </c>
      <c r="R124" s="11" t="s">
        <v>606</v>
      </c>
      <c r="S124" s="23">
        <v>46353</v>
      </c>
      <c r="T124" s="7" t="s">
        <v>581</v>
      </c>
      <c r="U124" s="7" t="s">
        <v>607</v>
      </c>
    </row>
    <row r="125" spans="1:21" x14ac:dyDescent="0.25">
      <c r="A125" s="7" t="s">
        <v>487</v>
      </c>
      <c r="B125" s="11" t="s">
        <v>767</v>
      </c>
      <c r="C125" s="7" t="s">
        <v>481</v>
      </c>
      <c r="D125" s="11" t="s">
        <v>789</v>
      </c>
      <c r="E125" s="11" t="s">
        <v>643</v>
      </c>
      <c r="F125" s="25" t="s">
        <v>24</v>
      </c>
      <c r="G125" s="7" t="s">
        <v>605</v>
      </c>
      <c r="H125" s="8">
        <v>0.5</v>
      </c>
      <c r="I125" s="8"/>
      <c r="J125" s="8"/>
      <c r="K125" s="8"/>
      <c r="L125" s="8"/>
      <c r="M125" s="8">
        <f>SUM(H125:L125)</f>
      </c>
      <c r="N125" s="23">
        <v>46351</v>
      </c>
      <c r="O125" s="23">
        <v>46351</v>
      </c>
      <c r="P125" s="7">
        <f>NETWORKDAYS(N125,O125)</f>
      </c>
      <c r="Q125" s="7" t="s">
        <v>486</v>
      </c>
      <c r="R125" s="11" t="s">
        <v>641</v>
      </c>
      <c r="S125" s="23">
        <v>46353</v>
      </c>
      <c r="T125" s="7" t="s">
        <v>581</v>
      </c>
      <c r="U125" s="7" t="s">
        <v>607</v>
      </c>
    </row>
    <row r="126" spans="1:21" x14ac:dyDescent="0.25">
      <c r="A126" s="7" t="s">
        <v>475</v>
      </c>
      <c r="B126" s="11" t="s">
        <v>767</v>
      </c>
      <c r="C126" s="7" t="s">
        <v>470</v>
      </c>
      <c r="D126" s="11" t="s">
        <v>790</v>
      </c>
      <c r="E126" s="11" t="s">
        <v>645</v>
      </c>
      <c r="F126" s="21" t="s">
        <v>27</v>
      </c>
      <c r="G126" s="7" t="s">
        <v>31</v>
      </c>
      <c r="H126" s="8"/>
      <c r="I126" s="8">
        <v>1.25</v>
      </c>
      <c r="J126" s="8"/>
      <c r="K126" s="8"/>
      <c r="L126" s="8"/>
      <c r="M126" s="8">
        <f>SUM(H126:L126)</f>
      </c>
      <c r="N126" s="23">
        <v>46351</v>
      </c>
      <c r="O126" s="23">
        <v>46352</v>
      </c>
      <c r="P126" s="7">
        <f>NETWORKDAYS(N126,O126)</f>
      </c>
      <c r="Q126" s="7" t="s">
        <v>766</v>
      </c>
      <c r="R126" s="11" t="s">
        <v>791</v>
      </c>
      <c r="S126" s="23">
        <v>46353</v>
      </c>
      <c r="T126" s="7" t="s">
        <v>581</v>
      </c>
      <c r="U126" s="7" t="s">
        <v>616</v>
      </c>
    </row>
    <row r="127" spans="1:21" x14ac:dyDescent="0.25">
      <c r="A127" s="7" t="s">
        <v>469</v>
      </c>
      <c r="B127" s="11" t="s">
        <v>767</v>
      </c>
      <c r="C127" s="7" t="s">
        <v>470</v>
      </c>
      <c r="D127" s="11" t="s">
        <v>792</v>
      </c>
      <c r="E127" s="11" t="s">
        <v>643</v>
      </c>
      <c r="F127" s="25" t="s">
        <v>24</v>
      </c>
      <c r="G127" s="7" t="s">
        <v>605</v>
      </c>
      <c r="H127" s="8">
        <v>0.5</v>
      </c>
      <c r="I127" s="8"/>
      <c r="J127" s="8"/>
      <c r="K127" s="8"/>
      <c r="L127" s="8"/>
      <c r="M127" s="8">
        <f>SUM(H127:L127)</f>
      </c>
      <c r="N127" s="23">
        <v>46352</v>
      </c>
      <c r="O127" s="23">
        <v>46352</v>
      </c>
      <c r="P127" s="7">
        <f>NETWORKDAYS(N127,O127)</f>
      </c>
      <c r="Q127" s="7" t="s">
        <v>475</v>
      </c>
      <c r="R127" s="11" t="s">
        <v>641</v>
      </c>
      <c r="S127" s="23">
        <v>46353</v>
      </c>
      <c r="T127" s="7" t="s">
        <v>581</v>
      </c>
      <c r="U127" s="7" t="s">
        <v>607</v>
      </c>
    </row>
    <row r="128" spans="1:21" x14ac:dyDescent="0.25">
      <c r="A128" s="7" t="s">
        <v>476</v>
      </c>
      <c r="B128" s="11" t="s">
        <v>767</v>
      </c>
      <c r="C128" s="7" t="s">
        <v>470</v>
      </c>
      <c r="D128" s="11" t="s">
        <v>793</v>
      </c>
      <c r="E128" s="11" t="s">
        <v>643</v>
      </c>
      <c r="F128" s="25" t="s">
        <v>24</v>
      </c>
      <c r="G128" s="7" t="s">
        <v>605</v>
      </c>
      <c r="H128" s="8">
        <v>0.25</v>
      </c>
      <c r="I128" s="8"/>
      <c r="J128" s="8"/>
      <c r="K128" s="8"/>
      <c r="L128" s="8"/>
      <c r="M128" s="8">
        <f>SUM(H128:L128)</f>
      </c>
      <c r="N128" s="23">
        <v>46352</v>
      </c>
      <c r="O128" s="23">
        <v>46352</v>
      </c>
      <c r="P128" s="7">
        <f>NETWORKDAYS(N128,O128)</f>
      </c>
      <c r="Q128" s="7" t="s">
        <v>475</v>
      </c>
      <c r="R128" s="11" t="s">
        <v>606</v>
      </c>
      <c r="S128" s="23">
        <v>46353</v>
      </c>
      <c r="T128" s="7" t="s">
        <v>581</v>
      </c>
      <c r="U128" s="7" t="s">
        <v>607</v>
      </c>
    </row>
    <row r="129" spans="1:21" x14ac:dyDescent="0.25">
      <c r="A129" s="7" t="s">
        <v>794</v>
      </c>
      <c r="B129" s="11" t="s">
        <v>767</v>
      </c>
      <c r="C129" s="7" t="s">
        <v>795</v>
      </c>
      <c r="D129" s="11" t="s">
        <v>796</v>
      </c>
      <c r="E129" s="11" t="s">
        <v>797</v>
      </c>
      <c r="F129" s="25" t="s">
        <v>24</v>
      </c>
      <c r="G129" s="7" t="s">
        <v>579</v>
      </c>
      <c r="H129" s="8">
        <v>0.5</v>
      </c>
      <c r="I129" s="8">
        <v>0.25</v>
      </c>
      <c r="J129" s="8"/>
      <c r="K129" s="8">
        <v>0.25</v>
      </c>
      <c r="L129" s="8">
        <v>0.25</v>
      </c>
      <c r="M129" s="8">
        <f>SUM(H129:L129)</f>
      </c>
      <c r="N129" s="23">
        <v>46352</v>
      </c>
      <c r="O129" s="23">
        <v>46353</v>
      </c>
      <c r="P129" s="7">
        <f>NETWORKDAYS(N129,O129)</f>
      </c>
      <c r="Q129" s="7" t="s">
        <v>798</v>
      </c>
      <c r="R129" s="11" t="s">
        <v>799</v>
      </c>
      <c r="S129" s="23"/>
      <c r="T129" s="7" t="s">
        <v>581</v>
      </c>
      <c r="U129" s="7" t="s">
        <v>698</v>
      </c>
    </row>
    <row r="130" spans="1:21" x14ac:dyDescent="0.25">
      <c r="A130" s="7" t="s">
        <v>800</v>
      </c>
      <c r="B130" s="11" t="s">
        <v>801</v>
      </c>
      <c r="C130" s="7" t="s">
        <v>802</v>
      </c>
      <c r="D130" s="11" t="s">
        <v>803</v>
      </c>
      <c r="E130" s="11" t="s">
        <v>804</v>
      </c>
      <c r="F130" s="30" t="s">
        <v>33</v>
      </c>
      <c r="G130" s="7" t="s">
        <v>579</v>
      </c>
      <c r="H130" s="8"/>
      <c r="I130" s="8"/>
      <c r="J130" s="8">
        <v>0.5</v>
      </c>
      <c r="K130" s="8">
        <v>1.25</v>
      </c>
      <c r="L130" s="8"/>
      <c r="M130" s="8">
        <f>SUM(H130:L130)</f>
      </c>
      <c r="N130" s="23">
        <v>46329</v>
      </c>
      <c r="O130" s="23">
        <v>46332</v>
      </c>
      <c r="P130" s="7">
        <f>NETWORKDAYS(N130,O130)</f>
      </c>
      <c r="Q130" s="7" t="s">
        <v>592</v>
      </c>
      <c r="R130" s="11" t="s">
        <v>805</v>
      </c>
      <c r="S130" s="23"/>
      <c r="T130" s="7" t="s">
        <v>581</v>
      </c>
      <c r="U130" s="7" t="s">
        <v>582</v>
      </c>
    </row>
    <row r="131" spans="1:21" x14ac:dyDescent="0.25">
      <c r="A131" s="7" t="s">
        <v>806</v>
      </c>
      <c r="B131" s="11" t="s">
        <v>801</v>
      </c>
      <c r="C131" s="7" t="s">
        <v>807</v>
      </c>
      <c r="D131" s="11" t="s">
        <v>808</v>
      </c>
      <c r="E131" s="11" t="s">
        <v>809</v>
      </c>
      <c r="F131" s="35" t="s">
        <v>30</v>
      </c>
      <c r="G131" s="7" t="s">
        <v>31</v>
      </c>
      <c r="H131" s="8"/>
      <c r="I131" s="8"/>
      <c r="J131" s="8">
        <v>4</v>
      </c>
      <c r="K131" s="8"/>
      <c r="L131" s="8"/>
      <c r="M131" s="8">
        <f>SUM(H131:L131)</f>
      </c>
      <c r="N131" s="23">
        <v>46332</v>
      </c>
      <c r="O131" s="23">
        <v>46338</v>
      </c>
      <c r="P131" s="7">
        <f>NETWORKDAYS(N131,O131)</f>
      </c>
      <c r="Q131" s="7" t="s">
        <v>800</v>
      </c>
      <c r="R131" s="11" t="s">
        <v>810</v>
      </c>
      <c r="S131" s="23">
        <v>46353</v>
      </c>
      <c r="T131" s="7" t="s">
        <v>581</v>
      </c>
      <c r="U131" s="7" t="s">
        <v>811</v>
      </c>
    </row>
    <row r="132" spans="1:21" x14ac:dyDescent="0.25">
      <c r="A132" s="7" t="s">
        <v>774</v>
      </c>
      <c r="B132" s="11" t="s">
        <v>801</v>
      </c>
      <c r="C132" s="7" t="s">
        <v>812</v>
      </c>
      <c r="D132" s="11" t="s">
        <v>813</v>
      </c>
      <c r="E132" s="11" t="s">
        <v>814</v>
      </c>
      <c r="F132" s="30" t="s">
        <v>33</v>
      </c>
      <c r="G132" s="7" t="s">
        <v>579</v>
      </c>
      <c r="H132" s="8"/>
      <c r="I132" s="8"/>
      <c r="J132" s="8"/>
      <c r="K132" s="8">
        <v>0.75</v>
      </c>
      <c r="L132" s="8"/>
      <c r="M132" s="8">
        <f>SUM(H132:L132)</f>
      </c>
      <c r="N132" s="23">
        <v>46335</v>
      </c>
      <c r="O132" s="23">
        <v>46338</v>
      </c>
      <c r="P132" s="7">
        <f>NETWORKDAYS(N132,O132)</f>
      </c>
      <c r="Q132" s="7" t="s">
        <v>592</v>
      </c>
      <c r="R132" s="11" t="s">
        <v>718</v>
      </c>
      <c r="S132" s="23"/>
      <c r="T132" s="7" t="s">
        <v>581</v>
      </c>
      <c r="U132" s="7" t="s">
        <v>582</v>
      </c>
    </row>
    <row r="133" spans="1:21" x14ac:dyDescent="0.25">
      <c r="A133" s="7" t="s">
        <v>815</v>
      </c>
      <c r="B133" s="11" t="s">
        <v>801</v>
      </c>
      <c r="C133" s="7" t="s">
        <v>816</v>
      </c>
      <c r="D133" s="11" t="s">
        <v>817</v>
      </c>
      <c r="E133" s="11" t="s">
        <v>809</v>
      </c>
      <c r="F133" s="35" t="s">
        <v>30</v>
      </c>
      <c r="G133" s="7" t="s">
        <v>31</v>
      </c>
      <c r="H133" s="8"/>
      <c r="I133" s="8"/>
      <c r="J133" s="8">
        <v>4</v>
      </c>
      <c r="K133" s="8"/>
      <c r="L133" s="8"/>
      <c r="M133" s="8">
        <f>SUM(H133:L133)</f>
      </c>
      <c r="N133" s="23">
        <v>46339</v>
      </c>
      <c r="O133" s="23">
        <v>46345</v>
      </c>
      <c r="P133" s="7">
        <f>NETWORKDAYS(N133,O133)</f>
      </c>
      <c r="Q133" s="7" t="s">
        <v>800</v>
      </c>
      <c r="R133" s="11" t="s">
        <v>810</v>
      </c>
      <c r="S133" s="23">
        <v>46353</v>
      </c>
      <c r="T133" s="7" t="s">
        <v>581</v>
      </c>
      <c r="U133" s="7" t="s">
        <v>811</v>
      </c>
    </row>
    <row r="134" spans="1:21" x14ac:dyDescent="0.25">
      <c r="A134" s="7" t="s">
        <v>498</v>
      </c>
      <c r="B134" s="11" t="s">
        <v>801</v>
      </c>
      <c r="C134" s="7" t="s">
        <v>492</v>
      </c>
      <c r="D134" s="11" t="s">
        <v>818</v>
      </c>
      <c r="E134" s="11" t="s">
        <v>645</v>
      </c>
      <c r="F134" s="35" t="s">
        <v>30</v>
      </c>
      <c r="G134" s="7" t="s">
        <v>31</v>
      </c>
      <c r="H134" s="8"/>
      <c r="I134" s="8"/>
      <c r="J134" s="8">
        <v>0.5</v>
      </c>
      <c r="K134" s="8"/>
      <c r="L134" s="8"/>
      <c r="M134" s="8">
        <f>SUM(H134:L134)</f>
      </c>
      <c r="N134" s="23">
        <v>46342</v>
      </c>
      <c r="O134" s="23">
        <v>46342</v>
      </c>
      <c r="P134" s="7">
        <f>NETWORKDAYS(N134,O134)</f>
      </c>
      <c r="Q134" s="7" t="s">
        <v>806</v>
      </c>
      <c r="R134" s="11" t="s">
        <v>819</v>
      </c>
      <c r="S134" s="23">
        <v>46353</v>
      </c>
      <c r="T134" s="7" t="s">
        <v>581</v>
      </c>
      <c r="U134" s="7" t="s">
        <v>811</v>
      </c>
    </row>
    <row r="135" spans="1:21" x14ac:dyDescent="0.25">
      <c r="A135" s="7" t="s">
        <v>514</v>
      </c>
      <c r="B135" s="11" t="s">
        <v>801</v>
      </c>
      <c r="C135" s="7" t="s">
        <v>510</v>
      </c>
      <c r="D135" s="11" t="s">
        <v>820</v>
      </c>
      <c r="E135" s="11" t="s">
        <v>645</v>
      </c>
      <c r="F135" s="35" t="s">
        <v>30</v>
      </c>
      <c r="G135" s="7" t="s">
        <v>31</v>
      </c>
      <c r="H135" s="8"/>
      <c r="I135" s="8"/>
      <c r="J135" s="8">
        <v>0.5</v>
      </c>
      <c r="K135" s="8"/>
      <c r="L135" s="8"/>
      <c r="M135" s="8">
        <f>SUM(H135:L135)</f>
      </c>
      <c r="N135" s="23">
        <v>46346</v>
      </c>
      <c r="O135" s="23">
        <v>46346</v>
      </c>
      <c r="P135" s="7">
        <f>NETWORKDAYS(N135,O135)</f>
      </c>
      <c r="Q135" s="7" t="s">
        <v>815</v>
      </c>
      <c r="R135" s="11" t="s">
        <v>821</v>
      </c>
      <c r="S135" s="23">
        <v>46353</v>
      </c>
      <c r="T135" s="7" t="s">
        <v>581</v>
      </c>
      <c r="U135" s="7" t="s">
        <v>811</v>
      </c>
    </row>
    <row r="136" spans="1:21" x14ac:dyDescent="0.25">
      <c r="A136" s="7" t="s">
        <v>822</v>
      </c>
      <c r="B136" s="11" t="s">
        <v>801</v>
      </c>
      <c r="C136" s="7" t="s">
        <v>823</v>
      </c>
      <c r="D136" s="11" t="s">
        <v>824</v>
      </c>
      <c r="E136" s="11" t="s">
        <v>825</v>
      </c>
      <c r="F136" s="35" t="s">
        <v>30</v>
      </c>
      <c r="G136" s="7" t="s">
        <v>31</v>
      </c>
      <c r="H136" s="8"/>
      <c r="I136" s="8"/>
      <c r="J136" s="8">
        <v>3</v>
      </c>
      <c r="K136" s="8"/>
      <c r="L136" s="8"/>
      <c r="M136" s="8">
        <f>SUM(H136:L136)</f>
      </c>
      <c r="N136" s="23">
        <v>46346</v>
      </c>
      <c r="O136" s="23">
        <v>46351</v>
      </c>
      <c r="P136" s="7">
        <f>NETWORKDAYS(N136,O136)</f>
      </c>
      <c r="Q136" s="7" t="s">
        <v>800</v>
      </c>
      <c r="R136" s="11" t="s">
        <v>826</v>
      </c>
      <c r="S136" s="23">
        <v>46356</v>
      </c>
      <c r="T136" s="7" t="s">
        <v>581</v>
      </c>
      <c r="U136" s="7" t="s">
        <v>811</v>
      </c>
    </row>
    <row r="137" spans="1:21" x14ac:dyDescent="0.25">
      <c r="A137" s="7" t="s">
        <v>533</v>
      </c>
      <c r="B137" s="11" t="s">
        <v>801</v>
      </c>
      <c r="C137" s="7" t="s">
        <v>534</v>
      </c>
      <c r="D137" s="11" t="s">
        <v>827</v>
      </c>
      <c r="E137" s="11" t="s">
        <v>640</v>
      </c>
      <c r="F137" s="25" t="s">
        <v>24</v>
      </c>
      <c r="G137" s="7" t="s">
        <v>605</v>
      </c>
      <c r="H137" s="8">
        <v>0.25</v>
      </c>
      <c r="I137" s="8"/>
      <c r="J137" s="8"/>
      <c r="K137" s="8"/>
      <c r="L137" s="8"/>
      <c r="M137" s="8">
        <f>SUM(H137:L137)</f>
      </c>
      <c r="N137" s="23">
        <v>46347</v>
      </c>
      <c r="O137" s="23">
        <v>46347</v>
      </c>
      <c r="P137" s="7">
        <f>NETWORKDAYS(N137,O137)</f>
      </c>
      <c r="Q137" s="7" t="s">
        <v>486</v>
      </c>
      <c r="R137" s="11" t="s">
        <v>641</v>
      </c>
      <c r="S137" s="23">
        <v>46353</v>
      </c>
      <c r="T137" s="7" t="s">
        <v>581</v>
      </c>
      <c r="U137" s="7" t="s">
        <v>607</v>
      </c>
    </row>
    <row r="138" spans="1:21" x14ac:dyDescent="0.25">
      <c r="A138" s="28" t="s">
        <v>538</v>
      </c>
      <c r="B138" s="31" t="s">
        <v>801</v>
      </c>
      <c r="C138" s="28" t="s">
        <v>539</v>
      </c>
      <c r="D138" s="31" t="s">
        <v>828</v>
      </c>
      <c r="E138" s="31" t="s">
        <v>643</v>
      </c>
      <c r="F138" s="32" t="s">
        <v>24</v>
      </c>
      <c r="G138" s="28" t="s">
        <v>605</v>
      </c>
      <c r="H138" s="33">
        <v>0.5</v>
      </c>
      <c r="I138" s="8"/>
      <c r="J138" s="8"/>
      <c r="K138" s="8"/>
      <c r="L138" s="8"/>
      <c r="M138" s="33">
        <f>SUM(H138:L138)</f>
      </c>
      <c r="N138" s="34">
        <v>46347</v>
      </c>
      <c r="O138" s="34">
        <v>46354</v>
      </c>
      <c r="P138" s="28">
        <f>NETWORKDAYS(N138,O138)</f>
      </c>
      <c r="Q138" s="28" t="s">
        <v>486</v>
      </c>
      <c r="R138" s="31" t="s">
        <v>641</v>
      </c>
      <c r="S138" s="34">
        <v>46353</v>
      </c>
      <c r="T138" s="28" t="s">
        <v>581</v>
      </c>
      <c r="U138" s="28" t="s">
        <v>607</v>
      </c>
    </row>
    <row r="139" spans="1:21" x14ac:dyDescent="0.25">
      <c r="A139" s="7" t="s">
        <v>491</v>
      </c>
      <c r="B139" s="11" t="s">
        <v>801</v>
      </c>
      <c r="C139" s="7" t="s">
        <v>492</v>
      </c>
      <c r="D139" s="11" t="s">
        <v>829</v>
      </c>
      <c r="E139" s="11" t="s">
        <v>643</v>
      </c>
      <c r="F139" s="25" t="s">
        <v>24</v>
      </c>
      <c r="G139" s="7" t="s">
        <v>605</v>
      </c>
      <c r="H139" s="8">
        <v>0.25</v>
      </c>
      <c r="I139" s="8"/>
      <c r="J139" s="8"/>
      <c r="K139" s="8"/>
      <c r="L139" s="8"/>
      <c r="M139" s="8">
        <f>SUM(H139:L139)</f>
      </c>
      <c r="N139" s="23">
        <v>46351</v>
      </c>
      <c r="O139" s="23">
        <v>46351</v>
      </c>
      <c r="P139" s="7">
        <f>NETWORKDAYS(N139,O139)</f>
      </c>
      <c r="Q139" s="7" t="s">
        <v>498</v>
      </c>
      <c r="R139" s="11" t="s">
        <v>606</v>
      </c>
      <c r="S139" s="23">
        <v>46353</v>
      </c>
      <c r="T139" s="7" t="s">
        <v>581</v>
      </c>
      <c r="U139" s="7" t="s">
        <v>607</v>
      </c>
    </row>
    <row r="140" spans="1:21" x14ac:dyDescent="0.25">
      <c r="A140" s="7" t="s">
        <v>502</v>
      </c>
      <c r="B140" s="11" t="s">
        <v>801</v>
      </c>
      <c r="C140" s="7" t="s">
        <v>503</v>
      </c>
      <c r="D140" s="11" t="s">
        <v>830</v>
      </c>
      <c r="E140" s="11" t="s">
        <v>643</v>
      </c>
      <c r="F140" s="21" t="s">
        <v>27</v>
      </c>
      <c r="G140" s="7" t="s">
        <v>605</v>
      </c>
      <c r="H140" s="8"/>
      <c r="I140" s="8">
        <v>0.1</v>
      </c>
      <c r="J140" s="8"/>
      <c r="K140" s="8"/>
      <c r="L140" s="8"/>
      <c r="M140" s="8">
        <f>SUM(H140:L140)</f>
      </c>
      <c r="N140" s="23">
        <v>46352</v>
      </c>
      <c r="O140" s="23">
        <v>46352</v>
      </c>
      <c r="P140" s="7">
        <f>NETWORKDAYS(N140,O140)</f>
      </c>
      <c r="Q140" s="7" t="s">
        <v>486</v>
      </c>
      <c r="R140" s="11" t="s">
        <v>641</v>
      </c>
      <c r="S140" s="23">
        <v>46353</v>
      </c>
      <c r="T140" s="7" t="s">
        <v>581</v>
      </c>
      <c r="U140" s="7" t="s">
        <v>607</v>
      </c>
    </row>
    <row r="141" spans="1:21" x14ac:dyDescent="0.25">
      <c r="A141" s="7" t="s">
        <v>506</v>
      </c>
      <c r="B141" s="11" t="s">
        <v>801</v>
      </c>
      <c r="C141" s="7" t="s">
        <v>503</v>
      </c>
      <c r="D141" s="11" t="s">
        <v>831</v>
      </c>
      <c r="E141" s="11" t="s">
        <v>643</v>
      </c>
      <c r="F141" s="21" t="s">
        <v>27</v>
      </c>
      <c r="G141" s="7" t="s">
        <v>605</v>
      </c>
      <c r="H141" s="8"/>
      <c r="I141" s="8">
        <v>0.25</v>
      </c>
      <c r="J141" s="8"/>
      <c r="K141" s="8"/>
      <c r="L141" s="8"/>
      <c r="M141" s="8">
        <f>SUM(H141:L141)</f>
      </c>
      <c r="N141" s="23">
        <v>46352</v>
      </c>
      <c r="O141" s="23">
        <v>46352</v>
      </c>
      <c r="P141" s="7">
        <f>NETWORKDAYS(N141,O141)</f>
      </c>
      <c r="Q141" s="7" t="s">
        <v>486</v>
      </c>
      <c r="R141" s="11" t="s">
        <v>641</v>
      </c>
      <c r="S141" s="23">
        <v>46353</v>
      </c>
      <c r="T141" s="7" t="s">
        <v>581</v>
      </c>
      <c r="U141" s="7" t="s">
        <v>607</v>
      </c>
    </row>
    <row r="142" spans="1:21" x14ac:dyDescent="0.25">
      <c r="A142" s="7" t="s">
        <v>517</v>
      </c>
      <c r="B142" s="11" t="s">
        <v>801</v>
      </c>
      <c r="C142" s="7" t="s">
        <v>518</v>
      </c>
      <c r="D142" s="11" t="s">
        <v>832</v>
      </c>
      <c r="E142" s="11" t="s">
        <v>643</v>
      </c>
      <c r="F142" s="21" t="s">
        <v>27</v>
      </c>
      <c r="G142" s="7" t="s">
        <v>605</v>
      </c>
      <c r="H142" s="8"/>
      <c r="I142" s="8">
        <v>0.1</v>
      </c>
      <c r="J142" s="8"/>
      <c r="K142" s="8"/>
      <c r="L142" s="8"/>
      <c r="M142" s="8">
        <f>SUM(H142:L142)</f>
      </c>
      <c r="N142" s="23">
        <v>46352</v>
      </c>
      <c r="O142" s="23">
        <v>46353</v>
      </c>
      <c r="P142" s="7">
        <f>NETWORKDAYS(N142,O142)</f>
      </c>
      <c r="Q142" s="7" t="s">
        <v>486</v>
      </c>
      <c r="R142" s="11" t="s">
        <v>641</v>
      </c>
      <c r="S142" s="23">
        <v>46353</v>
      </c>
      <c r="T142" s="7" t="s">
        <v>581</v>
      </c>
      <c r="U142" s="7" t="s">
        <v>607</v>
      </c>
    </row>
    <row r="143" spans="1:21" x14ac:dyDescent="0.25">
      <c r="A143" s="7" t="s">
        <v>833</v>
      </c>
      <c r="B143" s="11" t="s">
        <v>801</v>
      </c>
      <c r="C143" s="7" t="s">
        <v>834</v>
      </c>
      <c r="D143" s="11" t="s">
        <v>835</v>
      </c>
      <c r="E143" s="11" t="s">
        <v>836</v>
      </c>
      <c r="F143" s="35" t="s">
        <v>30</v>
      </c>
      <c r="G143" s="7" t="s">
        <v>579</v>
      </c>
      <c r="H143" s="8"/>
      <c r="I143" s="8"/>
      <c r="J143" s="8">
        <v>0.75</v>
      </c>
      <c r="K143" s="8">
        <v>0.75</v>
      </c>
      <c r="L143" s="8"/>
      <c r="M143" s="8">
        <f>SUM(H143:L143)</f>
      </c>
      <c r="N143" s="23">
        <v>46352</v>
      </c>
      <c r="O143" s="23">
        <v>46356</v>
      </c>
      <c r="P143" s="7">
        <f>NETWORKDAYS(N143,O143)</f>
      </c>
      <c r="Q143" s="7" t="s">
        <v>837</v>
      </c>
      <c r="R143" s="11" t="s">
        <v>838</v>
      </c>
      <c r="S143" s="23"/>
      <c r="T143" s="7" t="s">
        <v>581</v>
      </c>
      <c r="U143" s="7" t="s">
        <v>698</v>
      </c>
    </row>
    <row r="144" spans="1:21" x14ac:dyDescent="0.25">
      <c r="A144" s="7" t="s">
        <v>499</v>
      </c>
      <c r="B144" s="11" t="s">
        <v>801</v>
      </c>
      <c r="C144" s="7" t="s">
        <v>492</v>
      </c>
      <c r="D144" s="11" t="s">
        <v>839</v>
      </c>
      <c r="E144" s="11" t="s">
        <v>643</v>
      </c>
      <c r="F144" s="25" t="s">
        <v>24</v>
      </c>
      <c r="G144" s="7" t="s">
        <v>605</v>
      </c>
      <c r="H144" s="8">
        <v>0.25</v>
      </c>
      <c r="I144" s="8"/>
      <c r="J144" s="8"/>
      <c r="K144" s="8"/>
      <c r="L144" s="8"/>
      <c r="M144" s="8">
        <f>SUM(H144:L144)</f>
      </c>
      <c r="N144" s="23">
        <v>46353</v>
      </c>
      <c r="O144" s="23">
        <v>46353</v>
      </c>
      <c r="P144" s="7">
        <f>NETWORKDAYS(N144,O144)</f>
      </c>
      <c r="Q144" s="7" t="s">
        <v>498</v>
      </c>
      <c r="R144" s="11" t="s">
        <v>606</v>
      </c>
      <c r="S144" s="23">
        <v>46353</v>
      </c>
      <c r="T144" s="7" t="s">
        <v>581</v>
      </c>
      <c r="U144" s="7" t="s">
        <v>607</v>
      </c>
    </row>
    <row r="145" spans="1:21" x14ac:dyDescent="0.25">
      <c r="A145" s="7" t="s">
        <v>509</v>
      </c>
      <c r="B145" s="11" t="s">
        <v>801</v>
      </c>
      <c r="C145" s="7" t="s">
        <v>510</v>
      </c>
      <c r="D145" s="11" t="s">
        <v>840</v>
      </c>
      <c r="E145" s="11" t="s">
        <v>643</v>
      </c>
      <c r="F145" s="25" t="s">
        <v>24</v>
      </c>
      <c r="G145" s="7" t="s">
        <v>605</v>
      </c>
      <c r="H145" s="8">
        <v>0.25</v>
      </c>
      <c r="I145" s="8"/>
      <c r="J145" s="8"/>
      <c r="K145" s="8"/>
      <c r="L145" s="8"/>
      <c r="M145" s="8">
        <f>SUM(H145:L145)</f>
      </c>
      <c r="N145" s="23">
        <v>46353</v>
      </c>
      <c r="O145" s="23">
        <v>46353</v>
      </c>
      <c r="P145" s="7">
        <f>NETWORKDAYS(N145,O145)</f>
      </c>
      <c r="Q145" s="7" t="s">
        <v>514</v>
      </c>
      <c r="R145" s="11" t="s">
        <v>606</v>
      </c>
      <c r="S145" s="23">
        <v>46353</v>
      </c>
      <c r="T145" s="7" t="s">
        <v>581</v>
      </c>
      <c r="U145" s="7" t="s">
        <v>607</v>
      </c>
    </row>
    <row r="146" spans="1:21" x14ac:dyDescent="0.25">
      <c r="A146" s="7" t="s">
        <v>515</v>
      </c>
      <c r="B146" s="11" t="s">
        <v>801</v>
      </c>
      <c r="C146" s="7" t="s">
        <v>510</v>
      </c>
      <c r="D146" s="11" t="s">
        <v>841</v>
      </c>
      <c r="E146" s="11" t="s">
        <v>643</v>
      </c>
      <c r="F146" s="25" t="s">
        <v>24</v>
      </c>
      <c r="G146" s="7" t="s">
        <v>605</v>
      </c>
      <c r="H146" s="8">
        <v>0.25</v>
      </c>
      <c r="I146" s="8"/>
      <c r="J146" s="8"/>
      <c r="K146" s="8"/>
      <c r="L146" s="8"/>
      <c r="M146" s="8">
        <f>SUM(H146:L146)</f>
      </c>
      <c r="N146" s="23">
        <v>46353</v>
      </c>
      <c r="O146" s="23">
        <v>46353</v>
      </c>
      <c r="P146" s="7">
        <f>NETWORKDAYS(N146,O146)</f>
      </c>
      <c r="Q146" s="7" t="s">
        <v>514</v>
      </c>
      <c r="R146" s="11" t="s">
        <v>606</v>
      </c>
      <c r="S146" s="23">
        <v>46353</v>
      </c>
      <c r="T146" s="7" t="s">
        <v>581</v>
      </c>
      <c r="U146" s="7" t="s">
        <v>607</v>
      </c>
    </row>
    <row r="147" spans="1:21" x14ac:dyDescent="0.25">
      <c r="A147" s="7" t="s">
        <v>521</v>
      </c>
      <c r="B147" s="11" t="s">
        <v>801</v>
      </c>
      <c r="C147" s="7" t="s">
        <v>518</v>
      </c>
      <c r="D147" s="11" t="s">
        <v>842</v>
      </c>
      <c r="E147" s="11" t="s">
        <v>643</v>
      </c>
      <c r="F147" s="21" t="s">
        <v>27</v>
      </c>
      <c r="G147" s="7" t="s">
        <v>605</v>
      </c>
      <c r="H147" s="8"/>
      <c r="I147" s="8">
        <v>0.25</v>
      </c>
      <c r="J147" s="8"/>
      <c r="K147" s="8"/>
      <c r="L147" s="8"/>
      <c r="M147" s="8">
        <f>SUM(H147:L147)</f>
      </c>
      <c r="N147" s="23">
        <v>46353</v>
      </c>
      <c r="O147" s="23">
        <v>46353</v>
      </c>
      <c r="P147" s="7">
        <f>NETWORKDAYS(N147,O147)</f>
      </c>
      <c r="Q147" s="7" t="s">
        <v>486</v>
      </c>
      <c r="R147" s="11" t="s">
        <v>641</v>
      </c>
      <c r="S147" s="23">
        <v>46353</v>
      </c>
      <c r="T147" s="7" t="s">
        <v>581</v>
      </c>
      <c r="U147" s="7" t="s">
        <v>607</v>
      </c>
    </row>
    <row r="148" spans="1:21" x14ac:dyDescent="0.25">
      <c r="A148" s="7" t="s">
        <v>523</v>
      </c>
      <c r="B148" s="11" t="s">
        <v>801</v>
      </c>
      <c r="C148" s="7" t="s">
        <v>524</v>
      </c>
      <c r="D148" s="11" t="s">
        <v>843</v>
      </c>
      <c r="E148" s="11" t="s">
        <v>643</v>
      </c>
      <c r="F148" s="21" t="s">
        <v>27</v>
      </c>
      <c r="G148" s="7" t="s">
        <v>605</v>
      </c>
      <c r="H148" s="8"/>
      <c r="I148" s="8">
        <v>0.1</v>
      </c>
      <c r="J148" s="8"/>
      <c r="K148" s="8"/>
      <c r="L148" s="8"/>
      <c r="M148" s="8">
        <f>SUM(H148:L148)</f>
      </c>
      <c r="N148" s="23">
        <v>46353</v>
      </c>
      <c r="O148" s="23">
        <v>46353</v>
      </c>
      <c r="P148" s="7">
        <f>NETWORKDAYS(N148,O148)</f>
      </c>
      <c r="Q148" s="7" t="s">
        <v>486</v>
      </c>
      <c r="R148" s="11" t="s">
        <v>641</v>
      </c>
      <c r="S148" s="23">
        <v>46353</v>
      </c>
      <c r="T148" s="7" t="s">
        <v>581</v>
      </c>
      <c r="U148" s="7" t="s">
        <v>607</v>
      </c>
    </row>
    <row r="149" spans="1:21" x14ac:dyDescent="0.25">
      <c r="A149" s="7" t="s">
        <v>527</v>
      </c>
      <c r="B149" s="11" t="s">
        <v>801</v>
      </c>
      <c r="C149" s="7" t="s">
        <v>524</v>
      </c>
      <c r="D149" s="11" t="s">
        <v>844</v>
      </c>
      <c r="E149" s="11" t="s">
        <v>643</v>
      </c>
      <c r="F149" s="21" t="s">
        <v>27</v>
      </c>
      <c r="G149" s="7" t="s">
        <v>605</v>
      </c>
      <c r="H149" s="8"/>
      <c r="I149" s="8">
        <v>0.25</v>
      </c>
      <c r="J149" s="8"/>
      <c r="K149" s="8"/>
      <c r="L149" s="8"/>
      <c r="M149" s="8">
        <f>SUM(H149:L149)</f>
      </c>
      <c r="N149" s="23">
        <v>46353</v>
      </c>
      <c r="O149" s="23">
        <v>46353</v>
      </c>
      <c r="P149" s="7">
        <f>NETWORKDAYS(N149,O149)</f>
      </c>
      <c r="Q149" s="7" t="s">
        <v>486</v>
      </c>
      <c r="R149" s="11" t="s">
        <v>641</v>
      </c>
      <c r="S149" s="23">
        <v>46353</v>
      </c>
      <c r="T149" s="7" t="s">
        <v>581</v>
      </c>
      <c r="U149" s="7" t="s">
        <v>607</v>
      </c>
    </row>
    <row r="150" spans="1:21" x14ac:dyDescent="0.25">
      <c r="A150" s="28" t="s">
        <v>530</v>
      </c>
      <c r="B150" s="31" t="s">
        <v>801</v>
      </c>
      <c r="C150" s="28" t="s">
        <v>524</v>
      </c>
      <c r="D150" s="31" t="s">
        <v>845</v>
      </c>
      <c r="E150" s="31" t="s">
        <v>643</v>
      </c>
      <c r="F150" s="36" t="s">
        <v>27</v>
      </c>
      <c r="G150" s="28" t="s">
        <v>605</v>
      </c>
      <c r="H150" s="8"/>
      <c r="I150" s="33">
        <v>0.25</v>
      </c>
      <c r="J150" s="8"/>
      <c r="K150" s="8"/>
      <c r="L150" s="8"/>
      <c r="M150" s="33">
        <f>SUM(H150:L150)</f>
      </c>
      <c r="N150" s="34">
        <v>46353</v>
      </c>
      <c r="O150" s="34">
        <v>46354</v>
      </c>
      <c r="P150" s="28">
        <f>NETWORKDAYS(N150,O150)</f>
      </c>
      <c r="Q150" s="28" t="s">
        <v>486</v>
      </c>
      <c r="R150" s="31" t="s">
        <v>606</v>
      </c>
      <c r="S150" s="34">
        <v>46353</v>
      </c>
      <c r="T150" s="28" t="s">
        <v>581</v>
      </c>
      <c r="U150" s="28" t="s">
        <v>607</v>
      </c>
    </row>
    <row r="151" spans="1:21" x14ac:dyDescent="0.25">
      <c r="A151" s="28" t="s">
        <v>543</v>
      </c>
      <c r="B151" s="31" t="s">
        <v>801</v>
      </c>
      <c r="C151" s="28" t="s">
        <v>539</v>
      </c>
      <c r="D151" s="31" t="s">
        <v>846</v>
      </c>
      <c r="E151" s="31" t="s">
        <v>643</v>
      </c>
      <c r="F151" s="32" t="s">
        <v>24</v>
      </c>
      <c r="G151" s="28" t="s">
        <v>605</v>
      </c>
      <c r="H151" s="33">
        <v>0.25</v>
      </c>
      <c r="I151" s="8"/>
      <c r="J151" s="8"/>
      <c r="K151" s="8"/>
      <c r="L151" s="8"/>
      <c r="M151" s="33">
        <f>SUM(H151:L151)</f>
      </c>
      <c r="N151" s="34">
        <v>46354</v>
      </c>
      <c r="O151" s="34">
        <v>46354</v>
      </c>
      <c r="P151" s="28">
        <f>NETWORKDAYS(N151,O151)</f>
      </c>
      <c r="Q151" s="28" t="s">
        <v>617</v>
      </c>
      <c r="R151" s="31" t="s">
        <v>606</v>
      </c>
      <c r="S151" s="34">
        <v>46353</v>
      </c>
      <c r="T151" s="28" t="s">
        <v>581</v>
      </c>
      <c r="U151" s="28" t="s">
        <v>607</v>
      </c>
    </row>
    <row r="152" spans="1:21" x14ac:dyDescent="0.25">
      <c r="A152" s="7" t="s">
        <v>546</v>
      </c>
      <c r="B152" s="11" t="s">
        <v>801</v>
      </c>
      <c r="C152" s="7" t="s">
        <v>547</v>
      </c>
      <c r="D152" s="11" t="s">
        <v>847</v>
      </c>
      <c r="E152" s="11" t="s">
        <v>643</v>
      </c>
      <c r="F152" s="25" t="s">
        <v>24</v>
      </c>
      <c r="G152" s="7" t="s">
        <v>605</v>
      </c>
      <c r="H152" s="8">
        <v>0.25</v>
      </c>
      <c r="I152" s="8"/>
      <c r="J152" s="8"/>
      <c r="K152" s="8"/>
      <c r="L152" s="8"/>
      <c r="M152" s="8">
        <f>SUM(H152:L152)</f>
      </c>
      <c r="N152" s="23">
        <v>46356</v>
      </c>
      <c r="O152" s="23">
        <v>46356</v>
      </c>
      <c r="P152" s="7">
        <f>NETWORKDAYS(N152,O152)</f>
      </c>
      <c r="Q152" s="7" t="s">
        <v>552</v>
      </c>
      <c r="R152" s="11" t="s">
        <v>606</v>
      </c>
      <c r="S152" s="23">
        <v>46356</v>
      </c>
      <c r="T152" s="7" t="s">
        <v>581</v>
      </c>
      <c r="U152" s="7" t="s">
        <v>607</v>
      </c>
    </row>
    <row r="153" spans="1:21" x14ac:dyDescent="0.25">
      <c r="A153" s="7" t="s">
        <v>553</v>
      </c>
      <c r="B153" s="11" t="s">
        <v>801</v>
      </c>
      <c r="C153" s="7" t="s">
        <v>547</v>
      </c>
      <c r="D153" s="11" t="s">
        <v>848</v>
      </c>
      <c r="E153" s="11" t="s">
        <v>643</v>
      </c>
      <c r="F153" s="25" t="s">
        <v>24</v>
      </c>
      <c r="G153" s="7" t="s">
        <v>605</v>
      </c>
      <c r="H153" s="8">
        <v>0.5</v>
      </c>
      <c r="I153" s="8"/>
      <c r="J153" s="8"/>
      <c r="K153" s="8"/>
      <c r="L153" s="8"/>
      <c r="M153" s="8">
        <f>SUM(H153:L153)</f>
      </c>
      <c r="N153" s="23">
        <v>46356</v>
      </c>
      <c r="O153" s="23">
        <v>46356</v>
      </c>
      <c r="P153" s="7">
        <f>NETWORKDAYS(N153,O153)</f>
      </c>
      <c r="Q153" s="7" t="s">
        <v>552</v>
      </c>
      <c r="R153" s="11" t="s">
        <v>606</v>
      </c>
      <c r="S153" s="23">
        <v>46356</v>
      </c>
      <c r="T153" s="7" t="s">
        <v>581</v>
      </c>
      <c r="U153" s="7" t="s">
        <v>607</v>
      </c>
    </row>
    <row r="154" spans="1:21" x14ac:dyDescent="0.25">
      <c r="A154" s="7" t="s">
        <v>556</v>
      </c>
      <c r="B154" s="11" t="s">
        <v>801</v>
      </c>
      <c r="C154" s="7" t="s">
        <v>547</v>
      </c>
      <c r="D154" s="11" t="s">
        <v>849</v>
      </c>
      <c r="E154" s="11" t="s">
        <v>643</v>
      </c>
      <c r="F154" s="25" t="s">
        <v>24</v>
      </c>
      <c r="G154" s="7" t="s">
        <v>605</v>
      </c>
      <c r="H154" s="8">
        <v>0.25</v>
      </c>
      <c r="I154" s="8"/>
      <c r="J154" s="8"/>
      <c r="K154" s="8"/>
      <c r="L154" s="8"/>
      <c r="M154" s="8">
        <f>SUM(H154:L154)</f>
      </c>
      <c r="N154" s="23">
        <v>46356</v>
      </c>
      <c r="O154" s="23">
        <v>46356</v>
      </c>
      <c r="P154" s="7">
        <f>NETWORKDAYS(N154,O154)</f>
      </c>
      <c r="Q154" s="7" t="s">
        <v>552</v>
      </c>
      <c r="R154" s="11" t="s">
        <v>641</v>
      </c>
      <c r="S154" s="23">
        <v>46356</v>
      </c>
      <c r="T154" s="7" t="s">
        <v>581</v>
      </c>
      <c r="U154" s="7" t="s">
        <v>607</v>
      </c>
    </row>
    <row r="155" spans="1:21" x14ac:dyDescent="0.25">
      <c r="A155" s="7" t="s">
        <v>552</v>
      </c>
      <c r="B155" s="11" t="s">
        <v>801</v>
      </c>
      <c r="C155" s="7" t="s">
        <v>547</v>
      </c>
      <c r="D155" s="11" t="s">
        <v>850</v>
      </c>
      <c r="E155" s="11" t="s">
        <v>645</v>
      </c>
      <c r="F155" s="21" t="s">
        <v>27</v>
      </c>
      <c r="G155" s="7" t="s">
        <v>31</v>
      </c>
      <c r="H155" s="8"/>
      <c r="I155" s="8">
        <v>0.75</v>
      </c>
      <c r="J155" s="8"/>
      <c r="K155" s="8"/>
      <c r="L155" s="8"/>
      <c r="M155" s="8">
        <f>SUM(H155:L155)</f>
      </c>
      <c r="N155" s="23">
        <v>46356</v>
      </c>
      <c r="O155" s="23">
        <v>46356</v>
      </c>
      <c r="P155" s="7">
        <f>NETWORKDAYS(N155,O155)</f>
      </c>
      <c r="Q155" s="7" t="s">
        <v>800</v>
      </c>
      <c r="R155" s="11" t="s">
        <v>851</v>
      </c>
      <c r="S155" s="23">
        <v>46356</v>
      </c>
      <c r="T155" s="7" t="s">
        <v>581</v>
      </c>
      <c r="U155" s="7" t="s">
        <v>616</v>
      </c>
    </row>
    <row r="156" spans="1:21" x14ac:dyDescent="0.25">
      <c r="A156" s="7" t="s">
        <v>852</v>
      </c>
      <c r="B156" s="11" t="s">
        <v>853</v>
      </c>
      <c r="C156" s="7" t="s">
        <v>576</v>
      </c>
      <c r="D156" s="11" t="s">
        <v>854</v>
      </c>
      <c r="E156" s="11" t="s">
        <v>855</v>
      </c>
      <c r="F156" s="25" t="s">
        <v>24</v>
      </c>
      <c r="G156" s="7" t="s">
        <v>620</v>
      </c>
      <c r="H156" s="8">
        <v>1</v>
      </c>
      <c r="I156" s="8"/>
      <c r="J156" s="8"/>
      <c r="K156" s="8"/>
      <c r="L156" s="8"/>
      <c r="M156" s="8">
        <f>SUM(H156:L156)</f>
      </c>
      <c r="N156" s="23">
        <v>46357</v>
      </c>
      <c r="O156" s="23">
        <v>46359</v>
      </c>
      <c r="P156" s="7">
        <f>NETWORKDAYS(N156,O156)</f>
      </c>
      <c r="Q156" s="7" t="s">
        <v>856</v>
      </c>
      <c r="R156" s="11" t="s">
        <v>857</v>
      </c>
      <c r="S156" s="23">
        <v>46363</v>
      </c>
      <c r="T156" s="7" t="s">
        <v>581</v>
      </c>
      <c r="U156" s="7" t="s">
        <v>698</v>
      </c>
    </row>
    <row r="157" spans="1:21" x14ac:dyDescent="0.25">
      <c r="A157" s="7" t="s">
        <v>858</v>
      </c>
      <c r="B157" s="11" t="s">
        <v>853</v>
      </c>
      <c r="C157" s="7" t="s">
        <v>576</v>
      </c>
      <c r="D157" s="11" t="s">
        <v>859</v>
      </c>
      <c r="E157" s="11" t="s">
        <v>860</v>
      </c>
      <c r="F157" s="25" t="s">
        <v>24</v>
      </c>
      <c r="G157" s="7" t="s">
        <v>579</v>
      </c>
      <c r="H157" s="8">
        <v>1.25</v>
      </c>
      <c r="I157" s="8">
        <v>1.25</v>
      </c>
      <c r="J157" s="8">
        <v>0.25</v>
      </c>
      <c r="K157" s="8">
        <v>0.5</v>
      </c>
      <c r="L157" s="8">
        <v>0.5</v>
      </c>
      <c r="M157" s="8">
        <f>SUM(H157:L157)</f>
      </c>
      <c r="N157" s="23">
        <v>46357</v>
      </c>
      <c r="O157" s="23">
        <v>46358</v>
      </c>
      <c r="P157" s="7">
        <f>NETWORKDAYS(N157,O157)</f>
      </c>
      <c r="Q157" s="7" t="s">
        <v>861</v>
      </c>
      <c r="R157" s="11" t="s">
        <v>79</v>
      </c>
      <c r="S157" s="23"/>
      <c r="T157" s="7" t="s">
        <v>581</v>
      </c>
      <c r="U157" s="7" t="s">
        <v>698</v>
      </c>
    </row>
    <row r="158" spans="1:21" x14ac:dyDescent="0.25">
      <c r="A158" s="7" t="s">
        <v>862</v>
      </c>
      <c r="B158" s="11" t="s">
        <v>853</v>
      </c>
      <c r="C158" s="7" t="s">
        <v>863</v>
      </c>
      <c r="D158" s="11" t="s">
        <v>864</v>
      </c>
      <c r="E158" s="11" t="s">
        <v>865</v>
      </c>
      <c r="F158" s="21" t="s">
        <v>27</v>
      </c>
      <c r="G158" s="7" t="s">
        <v>579</v>
      </c>
      <c r="H158" s="8"/>
      <c r="I158" s="8">
        <v>0.5</v>
      </c>
      <c r="J158" s="8"/>
      <c r="K158" s="8"/>
      <c r="L158" s="8"/>
      <c r="M158" s="8">
        <f>SUM(H158:L158)</f>
      </c>
      <c r="N158" s="23">
        <v>46357</v>
      </c>
      <c r="O158" s="23">
        <v>46358</v>
      </c>
      <c r="P158" s="7">
        <f>NETWORKDAYS(N158,O158)</f>
      </c>
      <c r="Q158" s="7" t="s">
        <v>852</v>
      </c>
      <c r="R158" s="11" t="s">
        <v>866</v>
      </c>
      <c r="S158" s="23"/>
      <c r="T158" s="7" t="s">
        <v>581</v>
      </c>
      <c r="U158" s="7" t="s">
        <v>698</v>
      </c>
    </row>
    <row r="159" spans="1:21" x14ac:dyDescent="0.25">
      <c r="A159" s="7" t="s">
        <v>867</v>
      </c>
      <c r="B159" s="11" t="s">
        <v>853</v>
      </c>
      <c r="C159" s="7" t="s">
        <v>576</v>
      </c>
      <c r="D159" s="11" t="s">
        <v>868</v>
      </c>
      <c r="E159" s="11" t="s">
        <v>869</v>
      </c>
      <c r="F159" s="25" t="s">
        <v>24</v>
      </c>
      <c r="G159" s="7" t="s">
        <v>579</v>
      </c>
      <c r="H159" s="8">
        <v>0.75</v>
      </c>
      <c r="I159" s="8">
        <v>0.75</v>
      </c>
      <c r="J159" s="8">
        <v>0.25</v>
      </c>
      <c r="K159" s="8">
        <v>0.5</v>
      </c>
      <c r="L159" s="8">
        <v>0.5</v>
      </c>
      <c r="M159" s="8">
        <f>SUM(H159:L159)</f>
      </c>
      <c r="N159" s="23">
        <v>46359</v>
      </c>
      <c r="O159" s="23">
        <v>46360</v>
      </c>
      <c r="P159" s="7">
        <f>NETWORKDAYS(N159,O159)</f>
      </c>
      <c r="Q159" s="7" t="s">
        <v>858</v>
      </c>
      <c r="R159" s="11" t="s">
        <v>870</v>
      </c>
      <c r="S159" s="23"/>
      <c r="T159" s="7" t="s">
        <v>581</v>
      </c>
      <c r="U159" s="7" t="s">
        <v>698</v>
      </c>
    </row>
    <row r="160" spans="1:21" x14ac:dyDescent="0.25">
      <c r="A160" s="7" t="s">
        <v>871</v>
      </c>
      <c r="B160" s="11" t="s">
        <v>872</v>
      </c>
      <c r="C160" s="7" t="s">
        <v>802</v>
      </c>
      <c r="D160" s="11" t="s">
        <v>873</v>
      </c>
      <c r="E160" s="11" t="s">
        <v>874</v>
      </c>
      <c r="F160" s="35" t="s">
        <v>30</v>
      </c>
      <c r="G160" s="7" t="s">
        <v>620</v>
      </c>
      <c r="H160" s="8"/>
      <c r="I160" s="8"/>
      <c r="J160" s="8">
        <v>0.5</v>
      </c>
      <c r="K160" s="8"/>
      <c r="L160" s="8"/>
      <c r="M160" s="8">
        <f>SUM(H160:L160)</f>
      </c>
      <c r="N160" s="23">
        <v>46353</v>
      </c>
      <c r="O160" s="23">
        <v>46353</v>
      </c>
      <c r="P160" s="7">
        <f>NETWORKDAYS(N160,O160)</f>
      </c>
      <c r="Q160" s="7" t="s">
        <v>833</v>
      </c>
      <c r="R160" s="11" t="s">
        <v>875</v>
      </c>
      <c r="S160" s="23">
        <v>46363</v>
      </c>
      <c r="T160" s="7" t="s">
        <v>581</v>
      </c>
      <c r="U160" s="7" t="s">
        <v>876</v>
      </c>
    </row>
    <row r="161" spans="1:21" x14ac:dyDescent="0.25">
      <c r="A161" s="7" t="s">
        <v>877</v>
      </c>
      <c r="B161" s="11" t="s">
        <v>872</v>
      </c>
      <c r="C161" s="7" t="s">
        <v>576</v>
      </c>
      <c r="D161" s="11" t="s">
        <v>878</v>
      </c>
      <c r="E161" s="11" t="s">
        <v>879</v>
      </c>
      <c r="F161" s="21" t="s">
        <v>27</v>
      </c>
      <c r="G161" s="7" t="s">
        <v>620</v>
      </c>
      <c r="H161" s="8"/>
      <c r="I161" s="8">
        <v>1</v>
      </c>
      <c r="J161" s="8"/>
      <c r="K161" s="8"/>
      <c r="L161" s="8"/>
      <c r="M161" s="8">
        <f>SUM(H161:L161)</f>
      </c>
      <c r="N161" s="23">
        <v>46356</v>
      </c>
      <c r="O161" s="23">
        <v>46359</v>
      </c>
      <c r="P161" s="7">
        <f>NETWORKDAYS(N161,O161)</f>
      </c>
      <c r="Q161" s="7" t="s">
        <v>858</v>
      </c>
      <c r="R161" s="11" t="s">
        <v>880</v>
      </c>
      <c r="S161" s="23">
        <v>46363</v>
      </c>
      <c r="T161" s="7" t="s">
        <v>581</v>
      </c>
      <c r="U161" s="7" t="s">
        <v>876</v>
      </c>
    </row>
    <row r="162" spans="1:21" x14ac:dyDescent="0.25">
      <c r="A162" s="7" t="s">
        <v>881</v>
      </c>
      <c r="B162" s="11" t="s">
        <v>872</v>
      </c>
      <c r="C162" s="7" t="s">
        <v>882</v>
      </c>
      <c r="D162" s="11" t="s">
        <v>883</v>
      </c>
      <c r="E162" s="11" t="s">
        <v>884</v>
      </c>
      <c r="F162" s="30" t="s">
        <v>33</v>
      </c>
      <c r="G162" s="7" t="s">
        <v>579</v>
      </c>
      <c r="H162" s="8"/>
      <c r="I162" s="8"/>
      <c r="J162" s="8">
        <v>0.25</v>
      </c>
      <c r="K162" s="8">
        <v>0.25</v>
      </c>
      <c r="L162" s="8">
        <v>0.25</v>
      </c>
      <c r="M162" s="8">
        <f>SUM(H162:L162)</f>
      </c>
      <c r="N162" s="23">
        <v>46358</v>
      </c>
      <c r="O162" s="23">
        <v>46360</v>
      </c>
      <c r="P162" s="7">
        <f>NETWORKDAYS(N162,O162)</f>
      </c>
      <c r="Q162" s="7" t="s">
        <v>858</v>
      </c>
      <c r="R162" s="11" t="s">
        <v>885</v>
      </c>
      <c r="S162" s="23"/>
      <c r="T162" s="7" t="s">
        <v>581</v>
      </c>
      <c r="U162" s="7" t="s">
        <v>876</v>
      </c>
    </row>
    <row r="163" spans="1:21" x14ac:dyDescent="0.25">
      <c r="A163" s="7" t="s">
        <v>886</v>
      </c>
      <c r="B163" s="11" t="s">
        <v>872</v>
      </c>
      <c r="C163" s="7" t="s">
        <v>576</v>
      </c>
      <c r="D163" s="11" t="s">
        <v>887</v>
      </c>
      <c r="E163" s="11" t="s">
        <v>888</v>
      </c>
      <c r="F163" s="25" t="s">
        <v>24</v>
      </c>
      <c r="G163" s="7" t="s">
        <v>620</v>
      </c>
      <c r="H163" s="8">
        <v>0.75</v>
      </c>
      <c r="I163" s="8"/>
      <c r="J163" s="8"/>
      <c r="K163" s="8"/>
      <c r="L163" s="8"/>
      <c r="M163" s="8">
        <f>SUM(H163:L163)</f>
      </c>
      <c r="N163" s="23">
        <v>46359</v>
      </c>
      <c r="O163" s="23">
        <v>46360</v>
      </c>
      <c r="P163" s="7">
        <f>NETWORKDAYS(N163,O163)</f>
      </c>
      <c r="Q163" s="7" t="s">
        <v>852</v>
      </c>
      <c r="R163" s="11" t="s">
        <v>889</v>
      </c>
      <c r="S163" s="23">
        <v>46363</v>
      </c>
      <c r="T163" s="7" t="s">
        <v>581</v>
      </c>
      <c r="U163" s="7" t="s">
        <v>876</v>
      </c>
    </row>
    <row r="164" spans="1:21" x14ac:dyDescent="0.25">
      <c r="A164" s="7" t="s">
        <v>890</v>
      </c>
      <c r="B164" s="11" t="s">
        <v>872</v>
      </c>
      <c r="C164" s="7" t="s">
        <v>576</v>
      </c>
      <c r="D164" s="11" t="s">
        <v>891</v>
      </c>
      <c r="E164" s="11" t="s">
        <v>892</v>
      </c>
      <c r="F164" s="25" t="s">
        <v>24</v>
      </c>
      <c r="G164" s="7" t="s">
        <v>620</v>
      </c>
      <c r="H164" s="8">
        <v>0.25</v>
      </c>
      <c r="I164" s="8"/>
      <c r="J164" s="8"/>
      <c r="K164" s="8"/>
      <c r="L164" s="8"/>
      <c r="M164" s="8">
        <f>SUM(H164:L164)</f>
      </c>
      <c r="N164" s="23">
        <v>46360</v>
      </c>
      <c r="O164" s="23">
        <v>46363</v>
      </c>
      <c r="P164" s="7">
        <f>NETWORKDAYS(N164,O164)</f>
      </c>
      <c r="Q164" s="7" t="s">
        <v>886</v>
      </c>
      <c r="R164" s="11" t="s">
        <v>893</v>
      </c>
      <c r="S164" s="23">
        <v>46363</v>
      </c>
      <c r="T164" s="7" t="s">
        <v>581</v>
      </c>
      <c r="U164" s="7" t="s">
        <v>876</v>
      </c>
    </row>
    <row r="165" spans="1:21" x14ac:dyDescent="0.25">
      <c r="A165" s="7" t="s">
        <v>894</v>
      </c>
      <c r="B165" s="11" t="s">
        <v>872</v>
      </c>
      <c r="C165" s="7" t="s">
        <v>576</v>
      </c>
      <c r="D165" s="11" t="s">
        <v>895</v>
      </c>
      <c r="E165" s="11" t="s">
        <v>896</v>
      </c>
      <c r="F165" s="21" t="s">
        <v>27</v>
      </c>
      <c r="G165" s="7" t="s">
        <v>579</v>
      </c>
      <c r="H165" s="8">
        <v>0.25</v>
      </c>
      <c r="I165" s="8">
        <v>0.5</v>
      </c>
      <c r="J165" s="8"/>
      <c r="K165" s="8"/>
      <c r="L165" s="8"/>
      <c r="M165" s="8">
        <f>SUM(H165:L165)</f>
      </c>
      <c r="N165" s="23">
        <v>46360</v>
      </c>
      <c r="O165" s="23">
        <v>46363</v>
      </c>
      <c r="P165" s="7">
        <f>NETWORKDAYS(N165,O165)</f>
      </c>
      <c r="Q165" s="7" t="s">
        <v>867</v>
      </c>
      <c r="R165" s="11" t="s">
        <v>897</v>
      </c>
      <c r="S165" s="23"/>
      <c r="T165" s="7" t="s">
        <v>581</v>
      </c>
      <c r="U165" s="7" t="s">
        <v>876</v>
      </c>
    </row>
    <row r="166" spans="1:21" x14ac:dyDescent="0.25">
      <c r="A166" s="7" t="s">
        <v>898</v>
      </c>
      <c r="B166" s="11" t="s">
        <v>872</v>
      </c>
      <c r="C166" s="7" t="s">
        <v>576</v>
      </c>
      <c r="D166" s="11" t="s">
        <v>899</v>
      </c>
      <c r="E166" s="11" t="s">
        <v>900</v>
      </c>
      <c r="F166" s="25" t="s">
        <v>24</v>
      </c>
      <c r="G166" s="7" t="s">
        <v>579</v>
      </c>
      <c r="H166" s="8">
        <v>0.25</v>
      </c>
      <c r="I166" s="8">
        <v>0.25</v>
      </c>
      <c r="J166" s="8">
        <v>0.25</v>
      </c>
      <c r="K166" s="8">
        <v>0.25</v>
      </c>
      <c r="L166" s="8">
        <v>0.25</v>
      </c>
      <c r="M166" s="8">
        <f>SUM(H166:L166)</f>
      </c>
      <c r="N166" s="23">
        <v>46363</v>
      </c>
      <c r="O166" s="23">
        <v>46363</v>
      </c>
      <c r="P166" s="7">
        <f>NETWORKDAYS(N166,O166)</f>
      </c>
      <c r="Q166" s="7" t="s">
        <v>894</v>
      </c>
      <c r="R166" s="11" t="s">
        <v>901</v>
      </c>
      <c r="S166" s="23"/>
      <c r="T166" s="7" t="s">
        <v>581</v>
      </c>
      <c r="U166" s="7" t="s">
        <v>876</v>
      </c>
    </row>
    <row r="167" spans="1:13" s="3" customFormat="1" x14ac:dyDescent="0.25">
      <c r="A167" s="3" t="s">
        <v>40</v>
      </c>
      <c r="B167" s="3" t="s">
        <v>40</v>
      </c>
      <c r="C167" s="3" t="s">
        <v>40</v>
      </c>
      <c r="D167" s="3" t="s">
        <v>902</v>
      </c>
      <c r="E167" s="3" t="s">
        <v>40</v>
      </c>
      <c r="F167" s="3" t="s">
        <v>40</v>
      </c>
      <c r="G167" s="3" t="s">
        <v>40</v>
      </c>
      <c r="H167" s="37">
        <f>SUM(H5:H166)</f>
      </c>
      <c r="I167" s="37">
        <f>SUM(I5:I166)</f>
      </c>
      <c r="J167" s="37">
        <f>SUM(J5:J166)</f>
      </c>
      <c r="K167" s="37">
        <f>SUM(K5:K166)</f>
      </c>
      <c r="L167" s="37">
        <f>SUM(L5:L166)</f>
      </c>
      <c r="M167" s="37">
        <f>SUM(M5:M166)</f>
      </c>
    </row>
  </sheetData>
  <autoFilter ref="A4:U166"/>
  <dataValidations count="1">
    <dataValidation type="list" allowBlank="1" sqref="T5:T166">
      <formula1>"Chưa bắt đầu,Đang làm,Hoàn thành,Trễ,Tạm dừng"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6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58" customWidth="1"/>
    <col min="3" max="3" width="8" customWidth="1"/>
    <col min="4" max="5" width="7" customWidth="1"/>
    <col min="6" max="39" width="3.6" customWidth="1"/>
  </cols>
  <sheetData>
    <row r="1" spans="1:1" x14ac:dyDescent="0.25">
      <c r="A1" s="1" t="s">
        <v>903</v>
      </c>
    </row>
    <row r="2" spans="1:1" x14ac:dyDescent="0.25">
      <c r="A2" s="2" t="s">
        <v>904</v>
      </c>
    </row>
    <row r="3" spans="6:39" x14ac:dyDescent="0.25">
      <c r="F3" s="38" t="s">
        <v>905</v>
      </c>
      <c r="G3" s="38" t="s">
        <v>906</v>
      </c>
      <c r="H3" s="38" t="s">
        <v>907</v>
      </c>
      <c r="I3" s="38" t="s">
        <v>908</v>
      </c>
      <c r="J3" s="38" t="s">
        <v>909</v>
      </c>
      <c r="K3" s="38" t="s">
        <v>910</v>
      </c>
      <c r="L3" s="38" t="s">
        <v>905</v>
      </c>
      <c r="M3" s="38" t="s">
        <v>906</v>
      </c>
      <c r="N3" s="38" t="s">
        <v>907</v>
      </c>
      <c r="O3" s="38" t="s">
        <v>908</v>
      </c>
      <c r="P3" s="38" t="s">
        <v>909</v>
      </c>
      <c r="Q3" s="38" t="s">
        <v>910</v>
      </c>
      <c r="R3" s="38" t="s">
        <v>905</v>
      </c>
      <c r="S3" s="38" t="s">
        <v>906</v>
      </c>
      <c r="T3" s="38" t="s">
        <v>907</v>
      </c>
      <c r="U3" s="38" t="s">
        <v>908</v>
      </c>
      <c r="V3" s="38" t="s">
        <v>909</v>
      </c>
      <c r="W3" s="38" t="s">
        <v>910</v>
      </c>
      <c r="X3" s="38" t="s">
        <v>905</v>
      </c>
      <c r="Y3" s="38" t="s">
        <v>906</v>
      </c>
      <c r="Z3" s="38" t="s">
        <v>907</v>
      </c>
      <c r="AA3" s="38" t="s">
        <v>908</v>
      </c>
      <c r="AB3" s="38" t="s">
        <v>909</v>
      </c>
      <c r="AC3" s="38" t="s">
        <v>910</v>
      </c>
      <c r="AD3" s="38" t="s">
        <v>905</v>
      </c>
      <c r="AE3" s="38" t="s">
        <v>906</v>
      </c>
      <c r="AF3" s="38" t="s">
        <v>907</v>
      </c>
      <c r="AG3" s="38" t="s">
        <v>908</v>
      </c>
      <c r="AH3" s="38" t="s">
        <v>909</v>
      </c>
      <c r="AI3" s="38" t="s">
        <v>910</v>
      </c>
      <c r="AJ3" s="38" t="s">
        <v>905</v>
      </c>
      <c r="AK3" s="38" t="s">
        <v>906</v>
      </c>
      <c r="AL3" s="38" t="s">
        <v>907</v>
      </c>
      <c r="AM3" s="38" t="s">
        <v>908</v>
      </c>
    </row>
    <row r="4" ht="42" customHeight="1" spans="1:39" x14ac:dyDescent="0.25">
      <c r="A4" s="6" t="s">
        <v>563</v>
      </c>
      <c r="B4" s="6" t="s">
        <v>565</v>
      </c>
      <c r="C4" s="6" t="s">
        <v>567</v>
      </c>
      <c r="D4" s="6" t="s">
        <v>114</v>
      </c>
      <c r="E4" s="6" t="s">
        <v>115</v>
      </c>
      <c r="F4" s="39">
        <v>46324</v>
      </c>
      <c r="G4" s="39">
        <v>46325</v>
      </c>
      <c r="H4" s="40">
        <v>46326</v>
      </c>
      <c r="I4" s="39">
        <v>46328</v>
      </c>
      <c r="J4" s="39">
        <v>46329</v>
      </c>
      <c r="K4" s="39">
        <v>46330</v>
      </c>
      <c r="L4" s="39">
        <v>46331</v>
      </c>
      <c r="M4" s="39">
        <v>46332</v>
      </c>
      <c r="N4" s="40">
        <v>46333</v>
      </c>
      <c r="O4" s="39">
        <v>46335</v>
      </c>
      <c r="P4" s="39">
        <v>46336</v>
      </c>
      <c r="Q4" s="39">
        <v>46337</v>
      </c>
      <c r="R4" s="39">
        <v>46338</v>
      </c>
      <c r="S4" s="39">
        <v>46339</v>
      </c>
      <c r="T4" s="40">
        <v>46340</v>
      </c>
      <c r="U4" s="39">
        <v>46342</v>
      </c>
      <c r="V4" s="39">
        <v>46343</v>
      </c>
      <c r="W4" s="39">
        <v>46344</v>
      </c>
      <c r="X4" s="39">
        <v>46345</v>
      </c>
      <c r="Y4" s="39">
        <v>46346</v>
      </c>
      <c r="Z4" s="40">
        <v>46347</v>
      </c>
      <c r="AA4" s="39">
        <v>46349</v>
      </c>
      <c r="AB4" s="39">
        <v>46350</v>
      </c>
      <c r="AC4" s="39">
        <v>46351</v>
      </c>
      <c r="AD4" s="39">
        <v>46352</v>
      </c>
      <c r="AE4" s="39">
        <v>46353</v>
      </c>
      <c r="AF4" s="40">
        <v>46354</v>
      </c>
      <c r="AG4" s="39">
        <v>46356</v>
      </c>
      <c r="AH4" s="39">
        <v>46357</v>
      </c>
      <c r="AI4" s="39">
        <v>46358</v>
      </c>
      <c r="AJ4" s="39">
        <v>46359</v>
      </c>
      <c r="AK4" s="39">
        <v>46360</v>
      </c>
      <c r="AL4" s="40">
        <v>46361</v>
      </c>
      <c r="AM4" s="39">
        <v>46363</v>
      </c>
    </row>
    <row r="5" spans="1:39" s="41" customFormat="1" x14ac:dyDescent="0.25">
      <c r="A5" s="42">
        <f>'WBS chi tiết'!A5</f>
      </c>
      <c r="B5" s="42" t="s">
        <v>911</v>
      </c>
      <c r="C5" s="42">
        <f>'WBS chi tiết'!F5</f>
      </c>
      <c r="D5" s="43">
        <f>'WBS chi tiết'!N5</f>
      </c>
      <c r="E5" s="43">
        <f>'WBS chi tiết'!O5</f>
      </c>
      <c r="F5" s="42"/>
      <c r="G5" s="42"/>
      <c r="H5" s="44"/>
      <c r="I5" s="42"/>
      <c r="J5" s="42"/>
      <c r="K5" s="42"/>
      <c r="L5" s="42"/>
      <c r="M5" s="42"/>
      <c r="N5" s="44"/>
      <c r="O5" s="42"/>
      <c r="P5" s="42"/>
      <c r="Q5" s="42"/>
      <c r="R5" s="42"/>
      <c r="S5" s="42"/>
      <c r="T5" s="44"/>
      <c r="U5" s="42"/>
      <c r="V5" s="42"/>
      <c r="W5" s="42"/>
      <c r="X5" s="42"/>
      <c r="Y5" s="42"/>
      <c r="Z5" s="44"/>
      <c r="AA5" s="42"/>
      <c r="AB5" s="42"/>
      <c r="AC5" s="42"/>
      <c r="AD5" s="42"/>
      <c r="AE5" s="42"/>
      <c r="AF5" s="44"/>
      <c r="AG5" s="42"/>
      <c r="AH5" s="42"/>
      <c r="AI5" s="42"/>
      <c r="AJ5" s="42"/>
      <c r="AK5" s="42"/>
      <c r="AL5" s="44"/>
      <c r="AM5" s="42"/>
    </row>
    <row r="6" spans="1:39" s="41" customFormat="1" x14ac:dyDescent="0.25">
      <c r="A6" s="42">
        <f>'WBS chi tiết'!A6</f>
      </c>
      <c r="B6" s="42" t="s">
        <v>912</v>
      </c>
      <c r="C6" s="42">
        <f>'WBS chi tiết'!F6</f>
      </c>
      <c r="D6" s="43">
        <f>'WBS chi tiết'!N6</f>
      </c>
      <c r="E6" s="43">
        <f>'WBS chi tiết'!O6</f>
      </c>
      <c r="F6" s="42"/>
      <c r="G6" s="42"/>
      <c r="H6" s="44"/>
      <c r="I6" s="42"/>
      <c r="J6" s="42"/>
      <c r="K6" s="42"/>
      <c r="L6" s="42"/>
      <c r="M6" s="42"/>
      <c r="N6" s="44"/>
      <c r="O6" s="42"/>
      <c r="P6" s="42"/>
      <c r="Q6" s="42"/>
      <c r="R6" s="42"/>
      <c r="S6" s="42"/>
      <c r="T6" s="44"/>
      <c r="U6" s="42"/>
      <c r="V6" s="42"/>
      <c r="W6" s="42"/>
      <c r="X6" s="42"/>
      <c r="Y6" s="42"/>
      <c r="Z6" s="44"/>
      <c r="AA6" s="42"/>
      <c r="AB6" s="42"/>
      <c r="AC6" s="42"/>
      <c r="AD6" s="42"/>
      <c r="AE6" s="42"/>
      <c r="AF6" s="44"/>
      <c r="AG6" s="42"/>
      <c r="AH6" s="42"/>
      <c r="AI6" s="42"/>
      <c r="AJ6" s="42"/>
      <c r="AK6" s="42"/>
      <c r="AL6" s="44"/>
      <c r="AM6" s="42"/>
    </row>
    <row r="7" spans="1:39" s="41" customFormat="1" x14ac:dyDescent="0.25">
      <c r="A7" s="42">
        <f>'WBS chi tiết'!A7</f>
      </c>
      <c r="B7" s="42" t="s">
        <v>913</v>
      </c>
      <c r="C7" s="42">
        <f>'WBS chi tiết'!F7</f>
      </c>
      <c r="D7" s="43">
        <f>'WBS chi tiết'!N7</f>
      </c>
      <c r="E7" s="43">
        <f>'WBS chi tiết'!O7</f>
      </c>
      <c r="F7" s="42"/>
      <c r="G7" s="42"/>
      <c r="H7" s="44"/>
      <c r="I7" s="42"/>
      <c r="J7" s="42"/>
      <c r="K7" s="42"/>
      <c r="L7" s="42"/>
      <c r="M7" s="42"/>
      <c r="N7" s="44"/>
      <c r="O7" s="42"/>
      <c r="P7" s="42"/>
      <c r="Q7" s="42"/>
      <c r="R7" s="42"/>
      <c r="S7" s="42"/>
      <c r="T7" s="44"/>
      <c r="U7" s="42"/>
      <c r="V7" s="42"/>
      <c r="W7" s="42"/>
      <c r="X7" s="42"/>
      <c r="Y7" s="42"/>
      <c r="Z7" s="44"/>
      <c r="AA7" s="42"/>
      <c r="AB7" s="42"/>
      <c r="AC7" s="42"/>
      <c r="AD7" s="42"/>
      <c r="AE7" s="42"/>
      <c r="AF7" s="44"/>
      <c r="AG7" s="42"/>
      <c r="AH7" s="42"/>
      <c r="AI7" s="42"/>
      <c r="AJ7" s="42"/>
      <c r="AK7" s="42"/>
      <c r="AL7" s="44"/>
      <c r="AM7" s="42"/>
    </row>
    <row r="8" spans="1:39" s="41" customFormat="1" x14ac:dyDescent="0.25">
      <c r="A8" s="42">
        <f>'WBS chi tiết'!A8</f>
      </c>
      <c r="B8" s="42" t="s">
        <v>914</v>
      </c>
      <c r="C8" s="42">
        <f>'WBS chi tiết'!F8</f>
      </c>
      <c r="D8" s="43">
        <f>'WBS chi tiết'!N8</f>
      </c>
      <c r="E8" s="43">
        <f>'WBS chi tiết'!O8</f>
      </c>
      <c r="F8" s="42"/>
      <c r="G8" s="42"/>
      <c r="H8" s="44"/>
      <c r="I8" s="42"/>
      <c r="J8" s="42"/>
      <c r="K8" s="42"/>
      <c r="L8" s="42"/>
      <c r="M8" s="42"/>
      <c r="N8" s="44"/>
      <c r="O8" s="42"/>
      <c r="P8" s="42"/>
      <c r="Q8" s="42"/>
      <c r="R8" s="42"/>
      <c r="S8" s="42"/>
      <c r="T8" s="44"/>
      <c r="U8" s="42"/>
      <c r="V8" s="42"/>
      <c r="W8" s="42"/>
      <c r="X8" s="42"/>
      <c r="Y8" s="42"/>
      <c r="Z8" s="44"/>
      <c r="AA8" s="42"/>
      <c r="AB8" s="42"/>
      <c r="AC8" s="42"/>
      <c r="AD8" s="42"/>
      <c r="AE8" s="42"/>
      <c r="AF8" s="44"/>
      <c r="AG8" s="42"/>
      <c r="AH8" s="42"/>
      <c r="AI8" s="42"/>
      <c r="AJ8" s="42"/>
      <c r="AK8" s="42"/>
      <c r="AL8" s="44"/>
      <c r="AM8" s="42"/>
    </row>
    <row r="9" spans="1:39" s="41" customFormat="1" x14ac:dyDescent="0.25">
      <c r="A9" s="42">
        <f>'WBS chi tiết'!A9</f>
      </c>
      <c r="B9" s="42" t="s">
        <v>598</v>
      </c>
      <c r="C9" s="42">
        <f>'WBS chi tiết'!F9</f>
      </c>
      <c r="D9" s="43">
        <f>'WBS chi tiết'!N9</f>
      </c>
      <c r="E9" s="43">
        <f>'WBS chi tiết'!O9</f>
      </c>
      <c r="F9" s="42"/>
      <c r="G9" s="42"/>
      <c r="H9" s="44"/>
      <c r="I9" s="42"/>
      <c r="J9" s="42"/>
      <c r="K9" s="42"/>
      <c r="L9" s="42"/>
      <c r="M9" s="42"/>
      <c r="N9" s="44"/>
      <c r="O9" s="42"/>
      <c r="P9" s="42"/>
      <c r="Q9" s="42"/>
      <c r="R9" s="42"/>
      <c r="S9" s="42"/>
      <c r="T9" s="44"/>
      <c r="U9" s="42"/>
      <c r="V9" s="42"/>
      <c r="W9" s="42"/>
      <c r="X9" s="42"/>
      <c r="Y9" s="42"/>
      <c r="Z9" s="44"/>
      <c r="AA9" s="42"/>
      <c r="AB9" s="42"/>
      <c r="AC9" s="42"/>
      <c r="AD9" s="42"/>
      <c r="AE9" s="42"/>
      <c r="AF9" s="44"/>
      <c r="AG9" s="42"/>
      <c r="AH9" s="42"/>
      <c r="AI9" s="42"/>
      <c r="AJ9" s="42"/>
      <c r="AK9" s="42"/>
      <c r="AL9" s="44"/>
      <c r="AM9" s="42"/>
    </row>
    <row r="10" spans="1:39" s="41" customFormat="1" x14ac:dyDescent="0.25">
      <c r="A10" s="42">
        <f>'WBS chi tiết'!A10</f>
      </c>
      <c r="B10" s="42" t="s">
        <v>915</v>
      </c>
      <c r="C10" s="42">
        <f>'WBS chi tiết'!F10</f>
      </c>
      <c r="D10" s="43">
        <f>'WBS chi tiết'!N10</f>
      </c>
      <c r="E10" s="43">
        <f>'WBS chi tiết'!O10</f>
      </c>
      <c r="F10" s="42"/>
      <c r="G10" s="42"/>
      <c r="H10" s="44"/>
      <c r="I10" s="42"/>
      <c r="J10" s="42"/>
      <c r="K10" s="42"/>
      <c r="L10" s="42"/>
      <c r="M10" s="42"/>
      <c r="N10" s="44"/>
      <c r="O10" s="42"/>
      <c r="P10" s="42"/>
      <c r="Q10" s="42"/>
      <c r="R10" s="42"/>
      <c r="S10" s="42"/>
      <c r="T10" s="44"/>
      <c r="U10" s="42"/>
      <c r="V10" s="42"/>
      <c r="W10" s="42"/>
      <c r="X10" s="42"/>
      <c r="Y10" s="42"/>
      <c r="Z10" s="44"/>
      <c r="AA10" s="42"/>
      <c r="AB10" s="42"/>
      <c r="AC10" s="42"/>
      <c r="AD10" s="42"/>
      <c r="AE10" s="42"/>
      <c r="AF10" s="44"/>
      <c r="AG10" s="42"/>
      <c r="AH10" s="42"/>
      <c r="AI10" s="42"/>
      <c r="AJ10" s="42"/>
      <c r="AK10" s="42"/>
      <c r="AL10" s="44"/>
      <c r="AM10" s="42"/>
    </row>
    <row r="11" spans="1:39" s="41" customFormat="1" x14ac:dyDescent="0.25">
      <c r="A11" s="42">
        <f>'WBS chi tiết'!A11</f>
      </c>
      <c r="B11" s="42" t="s">
        <v>916</v>
      </c>
      <c r="C11" s="42">
        <f>'WBS chi tiết'!F11</f>
      </c>
      <c r="D11" s="43">
        <f>'WBS chi tiết'!N11</f>
      </c>
      <c r="E11" s="43">
        <f>'WBS chi tiết'!O11</f>
      </c>
      <c r="F11" s="42"/>
      <c r="G11" s="42"/>
      <c r="H11" s="44"/>
      <c r="I11" s="42"/>
      <c r="J11" s="42"/>
      <c r="K11" s="42"/>
      <c r="L11" s="42"/>
      <c r="M11" s="42"/>
      <c r="N11" s="44"/>
      <c r="O11" s="42"/>
      <c r="P11" s="42"/>
      <c r="Q11" s="42"/>
      <c r="R11" s="42"/>
      <c r="S11" s="42"/>
      <c r="T11" s="44"/>
      <c r="U11" s="42"/>
      <c r="V11" s="42"/>
      <c r="W11" s="42"/>
      <c r="X11" s="42"/>
      <c r="Y11" s="42"/>
      <c r="Z11" s="44"/>
      <c r="AA11" s="42"/>
      <c r="AB11" s="42"/>
      <c r="AC11" s="42"/>
      <c r="AD11" s="42"/>
      <c r="AE11" s="42"/>
      <c r="AF11" s="44"/>
      <c r="AG11" s="42"/>
      <c r="AH11" s="42"/>
      <c r="AI11" s="42"/>
      <c r="AJ11" s="42"/>
      <c r="AK11" s="42"/>
      <c r="AL11" s="44"/>
      <c r="AM11" s="42"/>
    </row>
    <row r="12" spans="1:39" s="41" customFormat="1" x14ac:dyDescent="0.25">
      <c r="A12" s="42">
        <f>'WBS chi tiết'!A12</f>
      </c>
      <c r="B12" s="42" t="s">
        <v>917</v>
      </c>
      <c r="C12" s="42">
        <f>'WBS chi tiết'!F12</f>
      </c>
      <c r="D12" s="43">
        <f>'WBS chi tiết'!N12</f>
      </c>
      <c r="E12" s="43">
        <f>'WBS chi tiết'!O12</f>
      </c>
      <c r="F12" s="42"/>
      <c r="G12" s="42"/>
      <c r="H12" s="44"/>
      <c r="I12" s="42"/>
      <c r="J12" s="42"/>
      <c r="K12" s="42"/>
      <c r="L12" s="42"/>
      <c r="M12" s="42"/>
      <c r="N12" s="44"/>
      <c r="O12" s="42"/>
      <c r="P12" s="42"/>
      <c r="Q12" s="42"/>
      <c r="R12" s="42"/>
      <c r="S12" s="42"/>
      <c r="T12" s="44"/>
      <c r="U12" s="42"/>
      <c r="V12" s="42"/>
      <c r="W12" s="42"/>
      <c r="X12" s="42"/>
      <c r="Y12" s="42"/>
      <c r="Z12" s="44"/>
      <c r="AA12" s="42"/>
      <c r="AB12" s="42"/>
      <c r="AC12" s="42"/>
      <c r="AD12" s="42"/>
      <c r="AE12" s="42"/>
      <c r="AF12" s="44"/>
      <c r="AG12" s="42"/>
      <c r="AH12" s="42"/>
      <c r="AI12" s="42"/>
      <c r="AJ12" s="42"/>
      <c r="AK12" s="42"/>
      <c r="AL12" s="44"/>
      <c r="AM12" s="42"/>
    </row>
    <row r="13" spans="1:39" s="41" customFormat="1" x14ac:dyDescent="0.25">
      <c r="A13" s="42">
        <f>'WBS chi tiết'!A13</f>
      </c>
      <c r="B13" s="42" t="s">
        <v>918</v>
      </c>
      <c r="C13" s="42">
        <f>'WBS chi tiết'!F13</f>
      </c>
      <c r="D13" s="43">
        <f>'WBS chi tiết'!N13</f>
      </c>
      <c r="E13" s="43">
        <f>'WBS chi tiết'!O13</f>
      </c>
      <c r="F13" s="42"/>
      <c r="G13" s="42"/>
      <c r="H13" s="44"/>
      <c r="I13" s="42"/>
      <c r="J13" s="42"/>
      <c r="K13" s="42"/>
      <c r="L13" s="42"/>
      <c r="M13" s="42"/>
      <c r="N13" s="44"/>
      <c r="O13" s="42"/>
      <c r="P13" s="42"/>
      <c r="Q13" s="42"/>
      <c r="R13" s="42"/>
      <c r="S13" s="42"/>
      <c r="T13" s="44"/>
      <c r="U13" s="42"/>
      <c r="V13" s="42"/>
      <c r="W13" s="42"/>
      <c r="X13" s="42"/>
      <c r="Y13" s="42"/>
      <c r="Z13" s="44"/>
      <c r="AA13" s="42"/>
      <c r="AB13" s="42"/>
      <c r="AC13" s="42"/>
      <c r="AD13" s="42"/>
      <c r="AE13" s="42"/>
      <c r="AF13" s="44"/>
      <c r="AG13" s="42"/>
      <c r="AH13" s="42"/>
      <c r="AI13" s="42"/>
      <c r="AJ13" s="42"/>
      <c r="AK13" s="42"/>
      <c r="AL13" s="44"/>
      <c r="AM13" s="42"/>
    </row>
    <row r="14" spans="1:39" s="41" customFormat="1" x14ac:dyDescent="0.25">
      <c r="A14" s="42">
        <f>'WBS chi tiết'!A14</f>
      </c>
      <c r="B14" s="42" t="s">
        <v>919</v>
      </c>
      <c r="C14" s="42">
        <f>'WBS chi tiết'!F14</f>
      </c>
      <c r="D14" s="43">
        <f>'WBS chi tiết'!N14</f>
      </c>
      <c r="E14" s="43">
        <f>'WBS chi tiết'!O14</f>
      </c>
      <c r="F14" s="42"/>
      <c r="G14" s="42"/>
      <c r="H14" s="44"/>
      <c r="I14" s="42"/>
      <c r="J14" s="42"/>
      <c r="K14" s="42"/>
      <c r="L14" s="42"/>
      <c r="M14" s="42"/>
      <c r="N14" s="44"/>
      <c r="O14" s="42"/>
      <c r="P14" s="42"/>
      <c r="Q14" s="42"/>
      <c r="R14" s="42"/>
      <c r="S14" s="42"/>
      <c r="T14" s="44"/>
      <c r="U14" s="42"/>
      <c r="V14" s="42"/>
      <c r="W14" s="42"/>
      <c r="X14" s="42"/>
      <c r="Y14" s="42"/>
      <c r="Z14" s="44"/>
      <c r="AA14" s="42"/>
      <c r="AB14" s="42"/>
      <c r="AC14" s="42"/>
      <c r="AD14" s="42"/>
      <c r="AE14" s="42"/>
      <c r="AF14" s="44"/>
      <c r="AG14" s="42"/>
      <c r="AH14" s="42"/>
      <c r="AI14" s="42"/>
      <c r="AJ14" s="42"/>
      <c r="AK14" s="42"/>
      <c r="AL14" s="44"/>
      <c r="AM14" s="42"/>
    </row>
    <row r="15" spans="1:39" s="41" customFormat="1" x14ac:dyDescent="0.25">
      <c r="A15" s="42">
        <f>'WBS chi tiết'!A15</f>
      </c>
      <c r="B15" s="42" t="s">
        <v>920</v>
      </c>
      <c r="C15" s="42">
        <f>'WBS chi tiết'!F15</f>
      </c>
      <c r="D15" s="43">
        <f>'WBS chi tiết'!N15</f>
      </c>
      <c r="E15" s="43">
        <f>'WBS chi tiết'!O15</f>
      </c>
      <c r="F15" s="42"/>
      <c r="G15" s="42"/>
      <c r="H15" s="44"/>
      <c r="I15" s="42"/>
      <c r="J15" s="42"/>
      <c r="K15" s="42"/>
      <c r="L15" s="42"/>
      <c r="M15" s="42"/>
      <c r="N15" s="44"/>
      <c r="O15" s="42"/>
      <c r="P15" s="42"/>
      <c r="Q15" s="42"/>
      <c r="R15" s="42"/>
      <c r="S15" s="42"/>
      <c r="T15" s="44"/>
      <c r="U15" s="42"/>
      <c r="V15" s="42"/>
      <c r="W15" s="42"/>
      <c r="X15" s="42"/>
      <c r="Y15" s="42"/>
      <c r="Z15" s="44"/>
      <c r="AA15" s="42"/>
      <c r="AB15" s="42"/>
      <c r="AC15" s="42"/>
      <c r="AD15" s="42"/>
      <c r="AE15" s="42"/>
      <c r="AF15" s="44"/>
      <c r="AG15" s="42"/>
      <c r="AH15" s="42"/>
      <c r="AI15" s="42"/>
      <c r="AJ15" s="42"/>
      <c r="AK15" s="42"/>
      <c r="AL15" s="44"/>
      <c r="AM15" s="42"/>
    </row>
    <row r="16" spans="1:39" s="41" customFormat="1" x14ac:dyDescent="0.25">
      <c r="A16" s="42">
        <f>'WBS chi tiết'!A16</f>
      </c>
      <c r="B16" s="42" t="s">
        <v>921</v>
      </c>
      <c r="C16" s="42">
        <f>'WBS chi tiết'!F16</f>
      </c>
      <c r="D16" s="43">
        <f>'WBS chi tiết'!N16</f>
      </c>
      <c r="E16" s="43">
        <f>'WBS chi tiết'!O16</f>
      </c>
      <c r="F16" s="42"/>
      <c r="G16" s="42"/>
      <c r="H16" s="44"/>
      <c r="I16" s="42"/>
      <c r="J16" s="42"/>
      <c r="K16" s="42"/>
      <c r="L16" s="42"/>
      <c r="M16" s="42"/>
      <c r="N16" s="44"/>
      <c r="O16" s="42"/>
      <c r="P16" s="42"/>
      <c r="Q16" s="42"/>
      <c r="R16" s="42"/>
      <c r="S16" s="42"/>
      <c r="T16" s="44"/>
      <c r="U16" s="42"/>
      <c r="V16" s="42"/>
      <c r="W16" s="42"/>
      <c r="X16" s="42"/>
      <c r="Y16" s="42"/>
      <c r="Z16" s="44"/>
      <c r="AA16" s="42"/>
      <c r="AB16" s="42"/>
      <c r="AC16" s="42"/>
      <c r="AD16" s="42"/>
      <c r="AE16" s="42"/>
      <c r="AF16" s="44"/>
      <c r="AG16" s="42"/>
      <c r="AH16" s="42"/>
      <c r="AI16" s="42"/>
      <c r="AJ16" s="42"/>
      <c r="AK16" s="42"/>
      <c r="AL16" s="44"/>
      <c r="AM16" s="42"/>
    </row>
    <row r="17" spans="1:39" s="41" customFormat="1" x14ac:dyDescent="0.25">
      <c r="A17" s="42">
        <f>'WBS chi tiết'!A17</f>
      </c>
      <c r="B17" s="42" t="s">
        <v>922</v>
      </c>
      <c r="C17" s="42">
        <f>'WBS chi tiết'!F17</f>
      </c>
      <c r="D17" s="43">
        <f>'WBS chi tiết'!N17</f>
      </c>
      <c r="E17" s="43">
        <f>'WBS chi tiết'!O17</f>
      </c>
      <c r="F17" s="42"/>
      <c r="G17" s="42"/>
      <c r="H17" s="44"/>
      <c r="I17" s="42"/>
      <c r="J17" s="42"/>
      <c r="K17" s="42"/>
      <c r="L17" s="42"/>
      <c r="M17" s="42"/>
      <c r="N17" s="44"/>
      <c r="O17" s="42"/>
      <c r="P17" s="42"/>
      <c r="Q17" s="42"/>
      <c r="R17" s="42"/>
      <c r="S17" s="42"/>
      <c r="T17" s="44"/>
      <c r="U17" s="42"/>
      <c r="V17" s="42"/>
      <c r="W17" s="42"/>
      <c r="X17" s="42"/>
      <c r="Y17" s="42"/>
      <c r="Z17" s="44"/>
      <c r="AA17" s="42"/>
      <c r="AB17" s="42"/>
      <c r="AC17" s="42"/>
      <c r="AD17" s="42"/>
      <c r="AE17" s="42"/>
      <c r="AF17" s="44"/>
      <c r="AG17" s="42"/>
      <c r="AH17" s="42"/>
      <c r="AI17" s="42"/>
      <c r="AJ17" s="42"/>
      <c r="AK17" s="42"/>
      <c r="AL17" s="44"/>
      <c r="AM17" s="42"/>
    </row>
    <row r="18" spans="1:39" s="41" customFormat="1" x14ac:dyDescent="0.25">
      <c r="A18" s="42">
        <f>'WBS chi tiết'!A18</f>
      </c>
      <c r="B18" s="42" t="s">
        <v>923</v>
      </c>
      <c r="C18" s="42">
        <f>'WBS chi tiết'!F18</f>
      </c>
      <c r="D18" s="43">
        <f>'WBS chi tiết'!N18</f>
      </c>
      <c r="E18" s="43">
        <f>'WBS chi tiết'!O18</f>
      </c>
      <c r="F18" s="42"/>
      <c r="G18" s="42"/>
      <c r="H18" s="44"/>
      <c r="I18" s="42"/>
      <c r="J18" s="42"/>
      <c r="K18" s="42"/>
      <c r="L18" s="42"/>
      <c r="M18" s="42"/>
      <c r="N18" s="44"/>
      <c r="O18" s="42"/>
      <c r="P18" s="42"/>
      <c r="Q18" s="42"/>
      <c r="R18" s="42"/>
      <c r="S18" s="42"/>
      <c r="T18" s="44"/>
      <c r="U18" s="42"/>
      <c r="V18" s="42"/>
      <c r="W18" s="42"/>
      <c r="X18" s="42"/>
      <c r="Y18" s="42"/>
      <c r="Z18" s="44"/>
      <c r="AA18" s="42"/>
      <c r="AB18" s="42"/>
      <c r="AC18" s="42"/>
      <c r="AD18" s="42"/>
      <c r="AE18" s="42"/>
      <c r="AF18" s="44"/>
      <c r="AG18" s="42"/>
      <c r="AH18" s="42"/>
      <c r="AI18" s="42"/>
      <c r="AJ18" s="42"/>
      <c r="AK18" s="42"/>
      <c r="AL18" s="44"/>
      <c r="AM18" s="42"/>
    </row>
    <row r="19" spans="1:39" s="41" customFormat="1" x14ac:dyDescent="0.25">
      <c r="A19" s="42">
        <f>'WBS chi tiết'!A19</f>
      </c>
      <c r="B19" s="42" t="s">
        <v>924</v>
      </c>
      <c r="C19" s="42">
        <f>'WBS chi tiết'!F19</f>
      </c>
      <c r="D19" s="43">
        <f>'WBS chi tiết'!N19</f>
      </c>
      <c r="E19" s="43">
        <f>'WBS chi tiết'!O19</f>
      </c>
      <c r="F19" s="42"/>
      <c r="G19" s="42"/>
      <c r="H19" s="44"/>
      <c r="I19" s="42"/>
      <c r="J19" s="42"/>
      <c r="K19" s="42"/>
      <c r="L19" s="42"/>
      <c r="M19" s="42"/>
      <c r="N19" s="44"/>
      <c r="O19" s="42"/>
      <c r="P19" s="42"/>
      <c r="Q19" s="42"/>
      <c r="R19" s="42"/>
      <c r="S19" s="42"/>
      <c r="T19" s="44"/>
      <c r="U19" s="42"/>
      <c r="V19" s="42"/>
      <c r="W19" s="42"/>
      <c r="X19" s="42"/>
      <c r="Y19" s="42"/>
      <c r="Z19" s="44"/>
      <c r="AA19" s="42"/>
      <c r="AB19" s="42"/>
      <c r="AC19" s="42"/>
      <c r="AD19" s="42"/>
      <c r="AE19" s="42"/>
      <c r="AF19" s="44"/>
      <c r="AG19" s="42"/>
      <c r="AH19" s="42"/>
      <c r="AI19" s="42"/>
      <c r="AJ19" s="42"/>
      <c r="AK19" s="42"/>
      <c r="AL19" s="44"/>
      <c r="AM19" s="42"/>
    </row>
    <row r="20" spans="1:39" s="41" customFormat="1" x14ac:dyDescent="0.25">
      <c r="A20" s="42">
        <f>'WBS chi tiết'!A20</f>
      </c>
      <c r="B20" s="42" t="s">
        <v>925</v>
      </c>
      <c r="C20" s="42">
        <f>'WBS chi tiết'!F20</f>
      </c>
      <c r="D20" s="43">
        <f>'WBS chi tiết'!N20</f>
      </c>
      <c r="E20" s="43">
        <f>'WBS chi tiết'!O20</f>
      </c>
      <c r="F20" s="42"/>
      <c r="G20" s="42"/>
      <c r="H20" s="44"/>
      <c r="I20" s="42"/>
      <c r="J20" s="42"/>
      <c r="K20" s="42"/>
      <c r="L20" s="42"/>
      <c r="M20" s="42"/>
      <c r="N20" s="44"/>
      <c r="O20" s="42"/>
      <c r="P20" s="42"/>
      <c r="Q20" s="42"/>
      <c r="R20" s="42"/>
      <c r="S20" s="42"/>
      <c r="T20" s="44"/>
      <c r="U20" s="42"/>
      <c r="V20" s="42"/>
      <c r="W20" s="42"/>
      <c r="X20" s="42"/>
      <c r="Y20" s="42"/>
      <c r="Z20" s="44"/>
      <c r="AA20" s="42"/>
      <c r="AB20" s="42"/>
      <c r="AC20" s="42"/>
      <c r="AD20" s="42"/>
      <c r="AE20" s="42"/>
      <c r="AF20" s="44"/>
      <c r="AG20" s="42"/>
      <c r="AH20" s="42"/>
      <c r="AI20" s="42"/>
      <c r="AJ20" s="42"/>
      <c r="AK20" s="42"/>
      <c r="AL20" s="44"/>
      <c r="AM20" s="42"/>
    </row>
    <row r="21" spans="1:39" s="41" customFormat="1" x14ac:dyDescent="0.25">
      <c r="A21" s="42">
        <f>'WBS chi tiết'!A21</f>
      </c>
      <c r="B21" s="42" t="s">
        <v>926</v>
      </c>
      <c r="C21" s="42">
        <f>'WBS chi tiết'!F21</f>
      </c>
      <c r="D21" s="43">
        <f>'WBS chi tiết'!N21</f>
      </c>
      <c r="E21" s="43">
        <f>'WBS chi tiết'!O21</f>
      </c>
      <c r="F21" s="42"/>
      <c r="G21" s="42"/>
      <c r="H21" s="44"/>
      <c r="I21" s="42"/>
      <c r="J21" s="42"/>
      <c r="K21" s="42"/>
      <c r="L21" s="42"/>
      <c r="M21" s="42"/>
      <c r="N21" s="44"/>
      <c r="O21" s="42"/>
      <c r="P21" s="42"/>
      <c r="Q21" s="42"/>
      <c r="R21" s="42"/>
      <c r="S21" s="42"/>
      <c r="T21" s="44"/>
      <c r="U21" s="42"/>
      <c r="V21" s="42"/>
      <c r="W21" s="42"/>
      <c r="X21" s="42"/>
      <c r="Y21" s="42"/>
      <c r="Z21" s="44"/>
      <c r="AA21" s="42"/>
      <c r="AB21" s="42"/>
      <c r="AC21" s="42"/>
      <c r="AD21" s="42"/>
      <c r="AE21" s="42"/>
      <c r="AF21" s="44"/>
      <c r="AG21" s="42"/>
      <c r="AH21" s="42"/>
      <c r="AI21" s="42"/>
      <c r="AJ21" s="42"/>
      <c r="AK21" s="42"/>
      <c r="AL21" s="44"/>
      <c r="AM21" s="42"/>
    </row>
    <row r="22" spans="1:39" s="41" customFormat="1" x14ac:dyDescent="0.25">
      <c r="A22" s="42">
        <f>'WBS chi tiết'!A22</f>
      </c>
      <c r="B22" s="42" t="s">
        <v>927</v>
      </c>
      <c r="C22" s="42">
        <f>'WBS chi tiết'!F22</f>
      </c>
      <c r="D22" s="43">
        <f>'WBS chi tiết'!N22</f>
      </c>
      <c r="E22" s="43">
        <f>'WBS chi tiết'!O22</f>
      </c>
      <c r="F22" s="42"/>
      <c r="G22" s="42"/>
      <c r="H22" s="44"/>
      <c r="I22" s="42"/>
      <c r="J22" s="42"/>
      <c r="K22" s="42"/>
      <c r="L22" s="42"/>
      <c r="M22" s="42"/>
      <c r="N22" s="44"/>
      <c r="O22" s="42"/>
      <c r="P22" s="42"/>
      <c r="Q22" s="42"/>
      <c r="R22" s="42"/>
      <c r="S22" s="42"/>
      <c r="T22" s="44"/>
      <c r="U22" s="42"/>
      <c r="V22" s="42"/>
      <c r="W22" s="42"/>
      <c r="X22" s="42"/>
      <c r="Y22" s="42"/>
      <c r="Z22" s="44"/>
      <c r="AA22" s="42"/>
      <c r="AB22" s="42"/>
      <c r="AC22" s="42"/>
      <c r="AD22" s="42"/>
      <c r="AE22" s="42"/>
      <c r="AF22" s="44"/>
      <c r="AG22" s="42"/>
      <c r="AH22" s="42"/>
      <c r="AI22" s="42"/>
      <c r="AJ22" s="42"/>
      <c r="AK22" s="42"/>
      <c r="AL22" s="44"/>
      <c r="AM22" s="42"/>
    </row>
    <row r="23" spans="1:39" s="41" customFormat="1" x14ac:dyDescent="0.25">
      <c r="A23" s="42">
        <f>'WBS chi tiết'!A23</f>
      </c>
      <c r="B23" s="42" t="s">
        <v>644</v>
      </c>
      <c r="C23" s="42">
        <f>'WBS chi tiết'!F23</f>
      </c>
      <c r="D23" s="43">
        <f>'WBS chi tiết'!N23</f>
      </c>
      <c r="E23" s="43">
        <f>'WBS chi tiết'!O23</f>
      </c>
      <c r="F23" s="42"/>
      <c r="G23" s="42"/>
      <c r="H23" s="44"/>
      <c r="I23" s="42"/>
      <c r="J23" s="42"/>
      <c r="K23" s="42"/>
      <c r="L23" s="42"/>
      <c r="M23" s="42"/>
      <c r="N23" s="44"/>
      <c r="O23" s="42"/>
      <c r="P23" s="42"/>
      <c r="Q23" s="42"/>
      <c r="R23" s="42"/>
      <c r="S23" s="42"/>
      <c r="T23" s="44"/>
      <c r="U23" s="42"/>
      <c r="V23" s="42"/>
      <c r="W23" s="42"/>
      <c r="X23" s="42"/>
      <c r="Y23" s="42"/>
      <c r="Z23" s="44"/>
      <c r="AA23" s="42"/>
      <c r="AB23" s="42"/>
      <c r="AC23" s="42"/>
      <c r="AD23" s="42"/>
      <c r="AE23" s="42"/>
      <c r="AF23" s="44"/>
      <c r="AG23" s="42"/>
      <c r="AH23" s="42"/>
      <c r="AI23" s="42"/>
      <c r="AJ23" s="42"/>
      <c r="AK23" s="42"/>
      <c r="AL23" s="44"/>
      <c r="AM23" s="42"/>
    </row>
    <row r="24" spans="1:39" s="41" customFormat="1" x14ac:dyDescent="0.25">
      <c r="A24" s="42">
        <f>'WBS chi tiết'!A24</f>
      </c>
      <c r="B24" s="42" t="s">
        <v>928</v>
      </c>
      <c r="C24" s="42">
        <f>'WBS chi tiết'!F24</f>
      </c>
      <c r="D24" s="43">
        <f>'WBS chi tiết'!N24</f>
      </c>
      <c r="E24" s="43">
        <f>'WBS chi tiết'!O24</f>
      </c>
      <c r="F24" s="42"/>
      <c r="G24" s="42"/>
      <c r="H24" s="44"/>
      <c r="I24" s="42"/>
      <c r="J24" s="42"/>
      <c r="K24" s="42"/>
      <c r="L24" s="42"/>
      <c r="M24" s="42"/>
      <c r="N24" s="44"/>
      <c r="O24" s="42"/>
      <c r="P24" s="42"/>
      <c r="Q24" s="42"/>
      <c r="R24" s="42"/>
      <c r="S24" s="42"/>
      <c r="T24" s="44"/>
      <c r="U24" s="42"/>
      <c r="V24" s="42"/>
      <c r="W24" s="42"/>
      <c r="X24" s="42"/>
      <c r="Y24" s="42"/>
      <c r="Z24" s="44"/>
      <c r="AA24" s="42"/>
      <c r="AB24" s="42"/>
      <c r="AC24" s="42"/>
      <c r="AD24" s="42"/>
      <c r="AE24" s="42"/>
      <c r="AF24" s="44"/>
      <c r="AG24" s="42"/>
      <c r="AH24" s="42"/>
      <c r="AI24" s="42"/>
      <c r="AJ24" s="42"/>
      <c r="AK24" s="42"/>
      <c r="AL24" s="44"/>
      <c r="AM24" s="42"/>
    </row>
    <row r="25" spans="1:39" s="41" customFormat="1" x14ac:dyDescent="0.25">
      <c r="A25" s="42">
        <f>'WBS chi tiết'!A25</f>
      </c>
      <c r="B25" s="42" t="s">
        <v>929</v>
      </c>
      <c r="C25" s="42">
        <f>'WBS chi tiết'!F25</f>
      </c>
      <c r="D25" s="43">
        <f>'WBS chi tiết'!N25</f>
      </c>
      <c r="E25" s="43">
        <f>'WBS chi tiết'!O25</f>
      </c>
      <c r="F25" s="42"/>
      <c r="G25" s="42"/>
      <c r="H25" s="44"/>
      <c r="I25" s="42"/>
      <c r="J25" s="42"/>
      <c r="K25" s="42"/>
      <c r="L25" s="42"/>
      <c r="M25" s="42"/>
      <c r="N25" s="44"/>
      <c r="O25" s="42"/>
      <c r="P25" s="42"/>
      <c r="Q25" s="42"/>
      <c r="R25" s="42"/>
      <c r="S25" s="42"/>
      <c r="T25" s="44"/>
      <c r="U25" s="42"/>
      <c r="V25" s="42"/>
      <c r="W25" s="42"/>
      <c r="X25" s="42"/>
      <c r="Y25" s="42"/>
      <c r="Z25" s="44"/>
      <c r="AA25" s="42"/>
      <c r="AB25" s="42"/>
      <c r="AC25" s="42"/>
      <c r="AD25" s="42"/>
      <c r="AE25" s="42"/>
      <c r="AF25" s="44"/>
      <c r="AG25" s="42"/>
      <c r="AH25" s="42"/>
      <c r="AI25" s="42"/>
      <c r="AJ25" s="42"/>
      <c r="AK25" s="42"/>
      <c r="AL25" s="44"/>
      <c r="AM25" s="42"/>
    </row>
    <row r="26" spans="1:39" s="41" customFormat="1" x14ac:dyDescent="0.25">
      <c r="A26" s="42">
        <f>'WBS chi tiết'!A26</f>
      </c>
      <c r="B26" s="42" t="s">
        <v>930</v>
      </c>
      <c r="C26" s="42">
        <f>'WBS chi tiết'!F26</f>
      </c>
      <c r="D26" s="43">
        <f>'WBS chi tiết'!N26</f>
      </c>
      <c r="E26" s="43">
        <f>'WBS chi tiết'!O26</f>
      </c>
      <c r="F26" s="42"/>
      <c r="G26" s="42"/>
      <c r="H26" s="44"/>
      <c r="I26" s="42"/>
      <c r="J26" s="42"/>
      <c r="K26" s="42"/>
      <c r="L26" s="42"/>
      <c r="M26" s="42"/>
      <c r="N26" s="44"/>
      <c r="O26" s="42"/>
      <c r="P26" s="42"/>
      <c r="Q26" s="42"/>
      <c r="R26" s="42"/>
      <c r="S26" s="42"/>
      <c r="T26" s="44"/>
      <c r="U26" s="42"/>
      <c r="V26" s="42"/>
      <c r="W26" s="42"/>
      <c r="X26" s="42"/>
      <c r="Y26" s="42"/>
      <c r="Z26" s="44"/>
      <c r="AA26" s="42"/>
      <c r="AB26" s="42"/>
      <c r="AC26" s="42"/>
      <c r="AD26" s="42"/>
      <c r="AE26" s="42"/>
      <c r="AF26" s="44"/>
      <c r="AG26" s="42"/>
      <c r="AH26" s="42"/>
      <c r="AI26" s="42"/>
      <c r="AJ26" s="42"/>
      <c r="AK26" s="42"/>
      <c r="AL26" s="44"/>
      <c r="AM26" s="42"/>
    </row>
    <row r="27" spans="1:39" s="41" customFormat="1" x14ac:dyDescent="0.25">
      <c r="A27" s="42">
        <f>'WBS chi tiết'!A27</f>
      </c>
      <c r="B27" s="42" t="s">
        <v>931</v>
      </c>
      <c r="C27" s="42">
        <f>'WBS chi tiết'!F27</f>
      </c>
      <c r="D27" s="43">
        <f>'WBS chi tiết'!N27</f>
      </c>
      <c r="E27" s="43">
        <f>'WBS chi tiết'!O27</f>
      </c>
      <c r="F27" s="42"/>
      <c r="G27" s="42"/>
      <c r="H27" s="44"/>
      <c r="I27" s="42"/>
      <c r="J27" s="42"/>
      <c r="K27" s="42"/>
      <c r="L27" s="42"/>
      <c r="M27" s="42"/>
      <c r="N27" s="44"/>
      <c r="O27" s="42"/>
      <c r="P27" s="42"/>
      <c r="Q27" s="42"/>
      <c r="R27" s="42"/>
      <c r="S27" s="42"/>
      <c r="T27" s="44"/>
      <c r="U27" s="42"/>
      <c r="V27" s="42"/>
      <c r="W27" s="42"/>
      <c r="X27" s="42"/>
      <c r="Y27" s="42"/>
      <c r="Z27" s="44"/>
      <c r="AA27" s="42"/>
      <c r="AB27" s="42"/>
      <c r="AC27" s="42"/>
      <c r="AD27" s="42"/>
      <c r="AE27" s="42"/>
      <c r="AF27" s="44"/>
      <c r="AG27" s="42"/>
      <c r="AH27" s="42"/>
      <c r="AI27" s="42"/>
      <c r="AJ27" s="42"/>
      <c r="AK27" s="42"/>
      <c r="AL27" s="44"/>
      <c r="AM27" s="42"/>
    </row>
    <row r="28" spans="1:39" s="41" customFormat="1" x14ac:dyDescent="0.25">
      <c r="A28" s="42">
        <f>'WBS chi tiết'!A28</f>
      </c>
      <c r="B28" s="42" t="s">
        <v>932</v>
      </c>
      <c r="C28" s="42">
        <f>'WBS chi tiết'!F28</f>
      </c>
      <c r="D28" s="43">
        <f>'WBS chi tiết'!N28</f>
      </c>
      <c r="E28" s="43">
        <f>'WBS chi tiết'!O28</f>
      </c>
      <c r="F28" s="42"/>
      <c r="G28" s="42"/>
      <c r="H28" s="44"/>
      <c r="I28" s="42"/>
      <c r="J28" s="42"/>
      <c r="K28" s="42"/>
      <c r="L28" s="42"/>
      <c r="M28" s="42"/>
      <c r="N28" s="44"/>
      <c r="O28" s="42"/>
      <c r="P28" s="42"/>
      <c r="Q28" s="42"/>
      <c r="R28" s="42"/>
      <c r="S28" s="42"/>
      <c r="T28" s="44"/>
      <c r="U28" s="42"/>
      <c r="V28" s="42"/>
      <c r="W28" s="42"/>
      <c r="X28" s="42"/>
      <c r="Y28" s="42"/>
      <c r="Z28" s="44"/>
      <c r="AA28" s="42"/>
      <c r="AB28" s="42"/>
      <c r="AC28" s="42"/>
      <c r="AD28" s="42"/>
      <c r="AE28" s="42"/>
      <c r="AF28" s="44"/>
      <c r="AG28" s="42"/>
      <c r="AH28" s="42"/>
      <c r="AI28" s="42"/>
      <c r="AJ28" s="42"/>
      <c r="AK28" s="42"/>
      <c r="AL28" s="44"/>
      <c r="AM28" s="42"/>
    </row>
    <row r="29" spans="1:39" s="41" customFormat="1" x14ac:dyDescent="0.25">
      <c r="A29" s="42">
        <f>'WBS chi tiết'!A29</f>
      </c>
      <c r="B29" s="42" t="s">
        <v>933</v>
      </c>
      <c r="C29" s="42">
        <f>'WBS chi tiết'!F29</f>
      </c>
      <c r="D29" s="43">
        <f>'WBS chi tiết'!N29</f>
      </c>
      <c r="E29" s="43">
        <f>'WBS chi tiết'!O29</f>
      </c>
      <c r="F29" s="42"/>
      <c r="G29" s="42"/>
      <c r="H29" s="44"/>
      <c r="I29" s="42"/>
      <c r="J29" s="42"/>
      <c r="K29" s="42"/>
      <c r="L29" s="42"/>
      <c r="M29" s="42"/>
      <c r="N29" s="44"/>
      <c r="O29" s="42"/>
      <c r="P29" s="42"/>
      <c r="Q29" s="42"/>
      <c r="R29" s="42"/>
      <c r="S29" s="42"/>
      <c r="T29" s="44"/>
      <c r="U29" s="42"/>
      <c r="V29" s="42"/>
      <c r="W29" s="42"/>
      <c r="X29" s="42"/>
      <c r="Y29" s="42"/>
      <c r="Z29" s="44"/>
      <c r="AA29" s="42"/>
      <c r="AB29" s="42"/>
      <c r="AC29" s="42"/>
      <c r="AD29" s="42"/>
      <c r="AE29" s="42"/>
      <c r="AF29" s="44"/>
      <c r="AG29" s="42"/>
      <c r="AH29" s="42"/>
      <c r="AI29" s="42"/>
      <c r="AJ29" s="42"/>
      <c r="AK29" s="42"/>
      <c r="AL29" s="44"/>
      <c r="AM29" s="42"/>
    </row>
    <row r="30" spans="1:39" s="41" customFormat="1" x14ac:dyDescent="0.25">
      <c r="A30" s="42">
        <f>'WBS chi tiết'!A30</f>
      </c>
      <c r="B30" s="42" t="s">
        <v>654</v>
      </c>
      <c r="C30" s="42">
        <f>'WBS chi tiết'!F30</f>
      </c>
      <c r="D30" s="43">
        <f>'WBS chi tiết'!N30</f>
      </c>
      <c r="E30" s="43">
        <f>'WBS chi tiết'!O30</f>
      </c>
      <c r="F30" s="42"/>
      <c r="G30" s="42"/>
      <c r="H30" s="44"/>
      <c r="I30" s="42"/>
      <c r="J30" s="42"/>
      <c r="K30" s="42"/>
      <c r="L30" s="42"/>
      <c r="M30" s="42"/>
      <c r="N30" s="44"/>
      <c r="O30" s="42"/>
      <c r="P30" s="42"/>
      <c r="Q30" s="42"/>
      <c r="R30" s="42"/>
      <c r="S30" s="42"/>
      <c r="T30" s="44"/>
      <c r="U30" s="42"/>
      <c r="V30" s="42"/>
      <c r="W30" s="42"/>
      <c r="X30" s="42"/>
      <c r="Y30" s="42"/>
      <c r="Z30" s="44"/>
      <c r="AA30" s="42"/>
      <c r="AB30" s="42"/>
      <c r="AC30" s="42"/>
      <c r="AD30" s="42"/>
      <c r="AE30" s="42"/>
      <c r="AF30" s="44"/>
      <c r="AG30" s="42"/>
      <c r="AH30" s="42"/>
      <c r="AI30" s="42"/>
      <c r="AJ30" s="42"/>
      <c r="AK30" s="42"/>
      <c r="AL30" s="44"/>
      <c r="AM30" s="42"/>
    </row>
    <row r="31" spans="1:39" s="41" customFormat="1" x14ac:dyDescent="0.25">
      <c r="A31" s="42">
        <f>'WBS chi tiết'!A31</f>
      </c>
      <c r="B31" s="42" t="s">
        <v>934</v>
      </c>
      <c r="C31" s="42">
        <f>'WBS chi tiết'!F31</f>
      </c>
      <c r="D31" s="43">
        <f>'WBS chi tiết'!N31</f>
      </c>
      <c r="E31" s="43">
        <f>'WBS chi tiết'!O31</f>
      </c>
      <c r="F31" s="42"/>
      <c r="G31" s="42"/>
      <c r="H31" s="44"/>
      <c r="I31" s="42"/>
      <c r="J31" s="42"/>
      <c r="K31" s="42"/>
      <c r="L31" s="42"/>
      <c r="M31" s="42"/>
      <c r="N31" s="44"/>
      <c r="O31" s="42"/>
      <c r="P31" s="42"/>
      <c r="Q31" s="42"/>
      <c r="R31" s="42"/>
      <c r="S31" s="42"/>
      <c r="T31" s="44"/>
      <c r="U31" s="42"/>
      <c r="V31" s="42"/>
      <c r="W31" s="42"/>
      <c r="X31" s="42"/>
      <c r="Y31" s="42"/>
      <c r="Z31" s="44"/>
      <c r="AA31" s="42"/>
      <c r="AB31" s="42"/>
      <c r="AC31" s="42"/>
      <c r="AD31" s="42"/>
      <c r="AE31" s="42"/>
      <c r="AF31" s="44"/>
      <c r="AG31" s="42"/>
      <c r="AH31" s="42"/>
      <c r="AI31" s="42"/>
      <c r="AJ31" s="42"/>
      <c r="AK31" s="42"/>
      <c r="AL31" s="44"/>
      <c r="AM31" s="42"/>
    </row>
    <row r="32" spans="1:39" s="41" customFormat="1" x14ac:dyDescent="0.25">
      <c r="A32" s="42">
        <f>'WBS chi tiết'!A32</f>
      </c>
      <c r="B32" s="42" t="s">
        <v>935</v>
      </c>
      <c r="C32" s="42">
        <f>'WBS chi tiết'!F32</f>
      </c>
      <c r="D32" s="43">
        <f>'WBS chi tiết'!N32</f>
      </c>
      <c r="E32" s="43">
        <f>'WBS chi tiết'!O32</f>
      </c>
      <c r="F32" s="42"/>
      <c r="G32" s="42"/>
      <c r="H32" s="44"/>
      <c r="I32" s="42"/>
      <c r="J32" s="42"/>
      <c r="K32" s="42"/>
      <c r="L32" s="42"/>
      <c r="M32" s="42"/>
      <c r="N32" s="44"/>
      <c r="O32" s="42"/>
      <c r="P32" s="42"/>
      <c r="Q32" s="42"/>
      <c r="R32" s="42"/>
      <c r="S32" s="42"/>
      <c r="T32" s="44"/>
      <c r="U32" s="42"/>
      <c r="V32" s="42"/>
      <c r="W32" s="42"/>
      <c r="X32" s="42"/>
      <c r="Y32" s="42"/>
      <c r="Z32" s="44"/>
      <c r="AA32" s="42"/>
      <c r="AB32" s="42"/>
      <c r="AC32" s="42"/>
      <c r="AD32" s="42"/>
      <c r="AE32" s="42"/>
      <c r="AF32" s="44"/>
      <c r="AG32" s="42"/>
      <c r="AH32" s="42"/>
      <c r="AI32" s="42"/>
      <c r="AJ32" s="42"/>
      <c r="AK32" s="42"/>
      <c r="AL32" s="44"/>
      <c r="AM32" s="42"/>
    </row>
    <row r="33" spans="1:39" s="41" customFormat="1" x14ac:dyDescent="0.25">
      <c r="A33" s="42">
        <f>'WBS chi tiết'!A33</f>
      </c>
      <c r="B33" s="42" t="s">
        <v>936</v>
      </c>
      <c r="C33" s="42">
        <f>'WBS chi tiết'!F33</f>
      </c>
      <c r="D33" s="43">
        <f>'WBS chi tiết'!N33</f>
      </c>
      <c r="E33" s="43">
        <f>'WBS chi tiết'!O33</f>
      </c>
      <c r="F33" s="42"/>
      <c r="G33" s="42"/>
      <c r="H33" s="44"/>
      <c r="I33" s="42"/>
      <c r="J33" s="42"/>
      <c r="K33" s="42"/>
      <c r="L33" s="42"/>
      <c r="M33" s="42"/>
      <c r="N33" s="44"/>
      <c r="O33" s="42"/>
      <c r="P33" s="42"/>
      <c r="Q33" s="42"/>
      <c r="R33" s="42"/>
      <c r="S33" s="42"/>
      <c r="T33" s="44"/>
      <c r="U33" s="42"/>
      <c r="V33" s="42"/>
      <c r="W33" s="42"/>
      <c r="X33" s="42"/>
      <c r="Y33" s="42"/>
      <c r="Z33" s="44"/>
      <c r="AA33" s="42"/>
      <c r="AB33" s="42"/>
      <c r="AC33" s="42"/>
      <c r="AD33" s="42"/>
      <c r="AE33" s="42"/>
      <c r="AF33" s="44"/>
      <c r="AG33" s="42"/>
      <c r="AH33" s="42"/>
      <c r="AI33" s="42"/>
      <c r="AJ33" s="42"/>
      <c r="AK33" s="42"/>
      <c r="AL33" s="44"/>
      <c r="AM33" s="42"/>
    </row>
    <row r="34" spans="1:39" s="41" customFormat="1" x14ac:dyDescent="0.25">
      <c r="A34" s="42">
        <f>'WBS chi tiết'!A34</f>
      </c>
      <c r="B34" s="42" t="s">
        <v>937</v>
      </c>
      <c r="C34" s="42">
        <f>'WBS chi tiết'!F34</f>
      </c>
      <c r="D34" s="43">
        <f>'WBS chi tiết'!N34</f>
      </c>
      <c r="E34" s="43">
        <f>'WBS chi tiết'!O34</f>
      </c>
      <c r="F34" s="42"/>
      <c r="G34" s="42"/>
      <c r="H34" s="44"/>
      <c r="I34" s="42"/>
      <c r="J34" s="42"/>
      <c r="K34" s="42"/>
      <c r="L34" s="42"/>
      <c r="M34" s="42"/>
      <c r="N34" s="44"/>
      <c r="O34" s="42"/>
      <c r="P34" s="42"/>
      <c r="Q34" s="42"/>
      <c r="R34" s="42"/>
      <c r="S34" s="42"/>
      <c r="T34" s="44"/>
      <c r="U34" s="42"/>
      <c r="V34" s="42"/>
      <c r="W34" s="42"/>
      <c r="X34" s="42"/>
      <c r="Y34" s="42"/>
      <c r="Z34" s="44"/>
      <c r="AA34" s="42"/>
      <c r="AB34" s="42"/>
      <c r="AC34" s="42"/>
      <c r="AD34" s="42"/>
      <c r="AE34" s="42"/>
      <c r="AF34" s="44"/>
      <c r="AG34" s="42"/>
      <c r="AH34" s="42"/>
      <c r="AI34" s="42"/>
      <c r="AJ34" s="42"/>
      <c r="AK34" s="42"/>
      <c r="AL34" s="44"/>
      <c r="AM34" s="42"/>
    </row>
    <row r="35" spans="1:39" s="41" customFormat="1" x14ac:dyDescent="0.25">
      <c r="A35" s="42">
        <f>'WBS chi tiết'!A35</f>
      </c>
      <c r="B35" s="42" t="s">
        <v>938</v>
      </c>
      <c r="C35" s="42">
        <f>'WBS chi tiết'!F35</f>
      </c>
      <c r="D35" s="43">
        <f>'WBS chi tiết'!N35</f>
      </c>
      <c r="E35" s="43">
        <f>'WBS chi tiết'!O35</f>
      </c>
      <c r="F35" s="42"/>
      <c r="G35" s="42"/>
      <c r="H35" s="44"/>
      <c r="I35" s="42"/>
      <c r="J35" s="42"/>
      <c r="K35" s="42"/>
      <c r="L35" s="42"/>
      <c r="M35" s="42"/>
      <c r="N35" s="44"/>
      <c r="O35" s="42"/>
      <c r="P35" s="42"/>
      <c r="Q35" s="42"/>
      <c r="R35" s="42"/>
      <c r="S35" s="42"/>
      <c r="T35" s="44"/>
      <c r="U35" s="42"/>
      <c r="V35" s="42"/>
      <c r="W35" s="42"/>
      <c r="X35" s="42"/>
      <c r="Y35" s="42"/>
      <c r="Z35" s="44"/>
      <c r="AA35" s="42"/>
      <c r="AB35" s="42"/>
      <c r="AC35" s="42"/>
      <c r="AD35" s="42"/>
      <c r="AE35" s="42"/>
      <c r="AF35" s="44"/>
      <c r="AG35" s="42"/>
      <c r="AH35" s="42"/>
      <c r="AI35" s="42"/>
      <c r="AJ35" s="42"/>
      <c r="AK35" s="42"/>
      <c r="AL35" s="44"/>
      <c r="AM35" s="42"/>
    </row>
    <row r="36" spans="1:39" s="41" customFormat="1" x14ac:dyDescent="0.25">
      <c r="A36" s="42">
        <f>'WBS chi tiết'!A36</f>
      </c>
      <c r="B36" s="42" t="s">
        <v>939</v>
      </c>
      <c r="C36" s="42">
        <f>'WBS chi tiết'!F36</f>
      </c>
      <c r="D36" s="43">
        <f>'WBS chi tiết'!N36</f>
      </c>
      <c r="E36" s="43">
        <f>'WBS chi tiết'!O36</f>
      </c>
      <c r="F36" s="42"/>
      <c r="G36" s="42"/>
      <c r="H36" s="44"/>
      <c r="I36" s="42"/>
      <c r="J36" s="42"/>
      <c r="K36" s="42"/>
      <c r="L36" s="42"/>
      <c r="M36" s="42"/>
      <c r="N36" s="44"/>
      <c r="O36" s="42"/>
      <c r="P36" s="42"/>
      <c r="Q36" s="42"/>
      <c r="R36" s="42"/>
      <c r="S36" s="42"/>
      <c r="T36" s="44"/>
      <c r="U36" s="42"/>
      <c r="V36" s="42"/>
      <c r="W36" s="42"/>
      <c r="X36" s="42"/>
      <c r="Y36" s="42"/>
      <c r="Z36" s="44"/>
      <c r="AA36" s="42"/>
      <c r="AB36" s="42"/>
      <c r="AC36" s="42"/>
      <c r="AD36" s="42"/>
      <c r="AE36" s="42"/>
      <c r="AF36" s="44"/>
      <c r="AG36" s="42"/>
      <c r="AH36" s="42"/>
      <c r="AI36" s="42"/>
      <c r="AJ36" s="42"/>
      <c r="AK36" s="42"/>
      <c r="AL36" s="44"/>
      <c r="AM36" s="42"/>
    </row>
    <row r="37" spans="1:39" s="41" customFormat="1" x14ac:dyDescent="0.25">
      <c r="A37" s="42">
        <f>'WBS chi tiết'!A37</f>
      </c>
      <c r="B37" s="42" t="s">
        <v>940</v>
      </c>
      <c r="C37" s="42">
        <f>'WBS chi tiết'!F37</f>
      </c>
      <c r="D37" s="43">
        <f>'WBS chi tiết'!N37</f>
      </c>
      <c r="E37" s="43">
        <f>'WBS chi tiết'!O37</f>
      </c>
      <c r="F37" s="42"/>
      <c r="G37" s="42"/>
      <c r="H37" s="44"/>
      <c r="I37" s="42"/>
      <c r="J37" s="42"/>
      <c r="K37" s="42"/>
      <c r="L37" s="42"/>
      <c r="M37" s="42"/>
      <c r="N37" s="44"/>
      <c r="O37" s="42"/>
      <c r="P37" s="42"/>
      <c r="Q37" s="42"/>
      <c r="R37" s="42"/>
      <c r="S37" s="42"/>
      <c r="T37" s="44"/>
      <c r="U37" s="42"/>
      <c r="V37" s="42"/>
      <c r="W37" s="42"/>
      <c r="X37" s="42"/>
      <c r="Y37" s="42"/>
      <c r="Z37" s="44"/>
      <c r="AA37" s="42"/>
      <c r="AB37" s="42"/>
      <c r="AC37" s="42"/>
      <c r="AD37" s="42"/>
      <c r="AE37" s="42"/>
      <c r="AF37" s="44"/>
      <c r="AG37" s="42"/>
      <c r="AH37" s="42"/>
      <c r="AI37" s="42"/>
      <c r="AJ37" s="42"/>
      <c r="AK37" s="42"/>
      <c r="AL37" s="44"/>
      <c r="AM37" s="42"/>
    </row>
    <row r="38" spans="1:39" s="41" customFormat="1" x14ac:dyDescent="0.25">
      <c r="A38" s="42">
        <f>'WBS chi tiết'!A38</f>
      </c>
      <c r="B38" s="42" t="s">
        <v>941</v>
      </c>
      <c r="C38" s="42">
        <f>'WBS chi tiết'!F38</f>
      </c>
      <c r="D38" s="43">
        <f>'WBS chi tiết'!N38</f>
      </c>
      <c r="E38" s="43">
        <f>'WBS chi tiết'!O38</f>
      </c>
      <c r="F38" s="42"/>
      <c r="G38" s="42"/>
      <c r="H38" s="44"/>
      <c r="I38" s="42"/>
      <c r="J38" s="42"/>
      <c r="K38" s="42"/>
      <c r="L38" s="42"/>
      <c r="M38" s="42"/>
      <c r="N38" s="44"/>
      <c r="O38" s="42"/>
      <c r="P38" s="42"/>
      <c r="Q38" s="42"/>
      <c r="R38" s="42"/>
      <c r="S38" s="42"/>
      <c r="T38" s="44"/>
      <c r="U38" s="42"/>
      <c r="V38" s="42"/>
      <c r="W38" s="42"/>
      <c r="X38" s="42"/>
      <c r="Y38" s="42"/>
      <c r="Z38" s="44"/>
      <c r="AA38" s="42"/>
      <c r="AB38" s="42"/>
      <c r="AC38" s="42"/>
      <c r="AD38" s="42"/>
      <c r="AE38" s="42"/>
      <c r="AF38" s="44"/>
      <c r="AG38" s="42"/>
      <c r="AH38" s="42"/>
      <c r="AI38" s="42"/>
      <c r="AJ38" s="42"/>
      <c r="AK38" s="42"/>
      <c r="AL38" s="44"/>
      <c r="AM38" s="42"/>
    </row>
    <row r="39" spans="1:39" s="41" customFormat="1" x14ac:dyDescent="0.25">
      <c r="A39" s="42">
        <f>'WBS chi tiết'!A39</f>
      </c>
      <c r="B39" s="42" t="s">
        <v>942</v>
      </c>
      <c r="C39" s="42">
        <f>'WBS chi tiết'!F39</f>
      </c>
      <c r="D39" s="43">
        <f>'WBS chi tiết'!N39</f>
      </c>
      <c r="E39" s="43">
        <f>'WBS chi tiết'!O39</f>
      </c>
      <c r="F39" s="42"/>
      <c r="G39" s="42"/>
      <c r="H39" s="44"/>
      <c r="I39" s="42"/>
      <c r="J39" s="42"/>
      <c r="K39" s="42"/>
      <c r="L39" s="42"/>
      <c r="M39" s="42"/>
      <c r="N39" s="44"/>
      <c r="O39" s="42"/>
      <c r="P39" s="42"/>
      <c r="Q39" s="42"/>
      <c r="R39" s="42"/>
      <c r="S39" s="42"/>
      <c r="T39" s="44"/>
      <c r="U39" s="42"/>
      <c r="V39" s="42"/>
      <c r="W39" s="42"/>
      <c r="X39" s="42"/>
      <c r="Y39" s="42"/>
      <c r="Z39" s="44"/>
      <c r="AA39" s="42"/>
      <c r="AB39" s="42"/>
      <c r="AC39" s="42"/>
      <c r="AD39" s="42"/>
      <c r="AE39" s="42"/>
      <c r="AF39" s="44"/>
      <c r="AG39" s="42"/>
      <c r="AH39" s="42"/>
      <c r="AI39" s="42"/>
      <c r="AJ39" s="42"/>
      <c r="AK39" s="42"/>
      <c r="AL39" s="44"/>
      <c r="AM39" s="42"/>
    </row>
    <row r="40" spans="1:39" s="41" customFormat="1" x14ac:dyDescent="0.25">
      <c r="A40" s="42">
        <f>'WBS chi tiết'!A40</f>
      </c>
      <c r="B40" s="42" t="s">
        <v>943</v>
      </c>
      <c r="C40" s="42">
        <f>'WBS chi tiết'!F40</f>
      </c>
      <c r="D40" s="43">
        <f>'WBS chi tiết'!N40</f>
      </c>
      <c r="E40" s="43">
        <f>'WBS chi tiết'!O40</f>
      </c>
      <c r="F40" s="42"/>
      <c r="G40" s="42"/>
      <c r="H40" s="44"/>
      <c r="I40" s="42"/>
      <c r="J40" s="42"/>
      <c r="K40" s="42"/>
      <c r="L40" s="42"/>
      <c r="M40" s="42"/>
      <c r="N40" s="44"/>
      <c r="O40" s="42"/>
      <c r="P40" s="42"/>
      <c r="Q40" s="42"/>
      <c r="R40" s="42"/>
      <c r="S40" s="42"/>
      <c r="T40" s="44"/>
      <c r="U40" s="42"/>
      <c r="V40" s="42"/>
      <c r="W40" s="42"/>
      <c r="X40" s="42"/>
      <c r="Y40" s="42"/>
      <c r="Z40" s="44"/>
      <c r="AA40" s="42"/>
      <c r="AB40" s="42"/>
      <c r="AC40" s="42"/>
      <c r="AD40" s="42"/>
      <c r="AE40" s="42"/>
      <c r="AF40" s="44"/>
      <c r="AG40" s="42"/>
      <c r="AH40" s="42"/>
      <c r="AI40" s="42"/>
      <c r="AJ40" s="42"/>
      <c r="AK40" s="42"/>
      <c r="AL40" s="44"/>
      <c r="AM40" s="42"/>
    </row>
    <row r="41" spans="1:39" s="41" customFormat="1" x14ac:dyDescent="0.25">
      <c r="A41" s="42">
        <f>'WBS chi tiết'!A41</f>
      </c>
      <c r="B41" s="42" t="s">
        <v>944</v>
      </c>
      <c r="C41" s="42">
        <f>'WBS chi tiết'!F41</f>
      </c>
      <c r="D41" s="43">
        <f>'WBS chi tiết'!N41</f>
      </c>
      <c r="E41" s="43">
        <f>'WBS chi tiết'!O41</f>
      </c>
      <c r="F41" s="42"/>
      <c r="G41" s="42"/>
      <c r="H41" s="44"/>
      <c r="I41" s="42"/>
      <c r="J41" s="42"/>
      <c r="K41" s="42"/>
      <c r="L41" s="42"/>
      <c r="M41" s="42"/>
      <c r="N41" s="44"/>
      <c r="O41" s="42"/>
      <c r="P41" s="42"/>
      <c r="Q41" s="42"/>
      <c r="R41" s="42"/>
      <c r="S41" s="42"/>
      <c r="T41" s="44"/>
      <c r="U41" s="42"/>
      <c r="V41" s="42"/>
      <c r="W41" s="42"/>
      <c r="X41" s="42"/>
      <c r="Y41" s="42"/>
      <c r="Z41" s="44"/>
      <c r="AA41" s="42"/>
      <c r="AB41" s="42"/>
      <c r="AC41" s="42"/>
      <c r="AD41" s="42"/>
      <c r="AE41" s="42"/>
      <c r="AF41" s="44"/>
      <c r="AG41" s="42"/>
      <c r="AH41" s="42"/>
      <c r="AI41" s="42"/>
      <c r="AJ41" s="42"/>
      <c r="AK41" s="42"/>
      <c r="AL41" s="44"/>
      <c r="AM41" s="42"/>
    </row>
    <row r="42" spans="1:39" s="41" customFormat="1" x14ac:dyDescent="0.25">
      <c r="A42" s="42">
        <f>'WBS chi tiết'!A42</f>
      </c>
      <c r="B42" s="42" t="s">
        <v>945</v>
      </c>
      <c r="C42" s="42">
        <f>'WBS chi tiết'!F42</f>
      </c>
      <c r="D42" s="43">
        <f>'WBS chi tiết'!N42</f>
      </c>
      <c r="E42" s="43">
        <f>'WBS chi tiết'!O42</f>
      </c>
      <c r="F42" s="42"/>
      <c r="G42" s="42"/>
      <c r="H42" s="44"/>
      <c r="I42" s="42"/>
      <c r="J42" s="42"/>
      <c r="K42" s="42"/>
      <c r="L42" s="42"/>
      <c r="M42" s="42"/>
      <c r="N42" s="44"/>
      <c r="O42" s="42"/>
      <c r="P42" s="42"/>
      <c r="Q42" s="42"/>
      <c r="R42" s="42"/>
      <c r="S42" s="42"/>
      <c r="T42" s="44"/>
      <c r="U42" s="42"/>
      <c r="V42" s="42"/>
      <c r="W42" s="42"/>
      <c r="X42" s="42"/>
      <c r="Y42" s="42"/>
      <c r="Z42" s="44"/>
      <c r="AA42" s="42"/>
      <c r="AB42" s="42"/>
      <c r="AC42" s="42"/>
      <c r="AD42" s="42"/>
      <c r="AE42" s="42"/>
      <c r="AF42" s="44"/>
      <c r="AG42" s="42"/>
      <c r="AH42" s="42"/>
      <c r="AI42" s="42"/>
      <c r="AJ42" s="42"/>
      <c r="AK42" s="42"/>
      <c r="AL42" s="44"/>
      <c r="AM42" s="42"/>
    </row>
    <row r="43" spans="1:39" s="41" customFormat="1" x14ac:dyDescent="0.25">
      <c r="A43" s="42">
        <f>'WBS chi tiết'!A43</f>
      </c>
      <c r="B43" s="42" t="s">
        <v>946</v>
      </c>
      <c r="C43" s="42">
        <f>'WBS chi tiết'!F43</f>
      </c>
      <c r="D43" s="43">
        <f>'WBS chi tiết'!N43</f>
      </c>
      <c r="E43" s="43">
        <f>'WBS chi tiết'!O43</f>
      </c>
      <c r="F43" s="42"/>
      <c r="G43" s="42"/>
      <c r="H43" s="44"/>
      <c r="I43" s="42"/>
      <c r="J43" s="42"/>
      <c r="K43" s="42"/>
      <c r="L43" s="42"/>
      <c r="M43" s="42"/>
      <c r="N43" s="44"/>
      <c r="O43" s="42"/>
      <c r="P43" s="42"/>
      <c r="Q43" s="42"/>
      <c r="R43" s="42"/>
      <c r="S43" s="42"/>
      <c r="T43" s="44"/>
      <c r="U43" s="42"/>
      <c r="V43" s="42"/>
      <c r="W43" s="42"/>
      <c r="X43" s="42"/>
      <c r="Y43" s="42"/>
      <c r="Z43" s="44"/>
      <c r="AA43" s="42"/>
      <c r="AB43" s="42"/>
      <c r="AC43" s="42"/>
      <c r="AD43" s="42"/>
      <c r="AE43" s="42"/>
      <c r="AF43" s="44"/>
      <c r="AG43" s="42"/>
      <c r="AH43" s="42"/>
      <c r="AI43" s="42"/>
      <c r="AJ43" s="42"/>
      <c r="AK43" s="42"/>
      <c r="AL43" s="44"/>
      <c r="AM43" s="42"/>
    </row>
    <row r="44" spans="1:39" s="41" customFormat="1" x14ac:dyDescent="0.25">
      <c r="A44" s="42">
        <f>'WBS chi tiết'!A44</f>
      </c>
      <c r="B44" s="42" t="s">
        <v>947</v>
      </c>
      <c r="C44" s="42">
        <f>'WBS chi tiết'!F44</f>
      </c>
      <c r="D44" s="43">
        <f>'WBS chi tiết'!N44</f>
      </c>
      <c r="E44" s="43">
        <f>'WBS chi tiết'!O44</f>
      </c>
      <c r="F44" s="42"/>
      <c r="G44" s="42"/>
      <c r="H44" s="44"/>
      <c r="I44" s="42"/>
      <c r="J44" s="42"/>
      <c r="K44" s="42"/>
      <c r="L44" s="42"/>
      <c r="M44" s="42"/>
      <c r="N44" s="44"/>
      <c r="O44" s="42"/>
      <c r="P44" s="42"/>
      <c r="Q44" s="42"/>
      <c r="R44" s="42"/>
      <c r="S44" s="42"/>
      <c r="T44" s="44"/>
      <c r="U44" s="42"/>
      <c r="V44" s="42"/>
      <c r="W44" s="42"/>
      <c r="X44" s="42"/>
      <c r="Y44" s="42"/>
      <c r="Z44" s="44"/>
      <c r="AA44" s="42"/>
      <c r="AB44" s="42"/>
      <c r="AC44" s="42"/>
      <c r="AD44" s="42"/>
      <c r="AE44" s="42"/>
      <c r="AF44" s="44"/>
      <c r="AG44" s="42"/>
      <c r="AH44" s="42"/>
      <c r="AI44" s="42"/>
      <c r="AJ44" s="42"/>
      <c r="AK44" s="42"/>
      <c r="AL44" s="44"/>
      <c r="AM44" s="42"/>
    </row>
    <row r="45" spans="1:39" s="41" customFormat="1" x14ac:dyDescent="0.25">
      <c r="A45" s="42">
        <f>'WBS chi tiết'!A45</f>
      </c>
      <c r="B45" s="42" t="s">
        <v>948</v>
      </c>
      <c r="C45" s="42">
        <f>'WBS chi tiết'!F45</f>
      </c>
      <c r="D45" s="43">
        <f>'WBS chi tiết'!N45</f>
      </c>
      <c r="E45" s="43">
        <f>'WBS chi tiết'!O45</f>
      </c>
      <c r="F45" s="42"/>
      <c r="G45" s="42"/>
      <c r="H45" s="44"/>
      <c r="I45" s="42"/>
      <c r="J45" s="42"/>
      <c r="K45" s="42"/>
      <c r="L45" s="42"/>
      <c r="M45" s="42"/>
      <c r="N45" s="44"/>
      <c r="O45" s="42"/>
      <c r="P45" s="42"/>
      <c r="Q45" s="42"/>
      <c r="R45" s="42"/>
      <c r="S45" s="42"/>
      <c r="T45" s="44"/>
      <c r="U45" s="42"/>
      <c r="V45" s="42"/>
      <c r="W45" s="42"/>
      <c r="X45" s="42"/>
      <c r="Y45" s="42"/>
      <c r="Z45" s="44"/>
      <c r="AA45" s="42"/>
      <c r="AB45" s="42"/>
      <c r="AC45" s="42"/>
      <c r="AD45" s="42"/>
      <c r="AE45" s="42"/>
      <c r="AF45" s="44"/>
      <c r="AG45" s="42"/>
      <c r="AH45" s="42"/>
      <c r="AI45" s="42"/>
      <c r="AJ45" s="42"/>
      <c r="AK45" s="42"/>
      <c r="AL45" s="44"/>
      <c r="AM45" s="42"/>
    </row>
    <row r="46" spans="1:39" s="41" customFormat="1" x14ac:dyDescent="0.25">
      <c r="A46" s="42">
        <f>'WBS chi tiết'!A46</f>
      </c>
      <c r="B46" s="42" t="s">
        <v>949</v>
      </c>
      <c r="C46" s="42">
        <f>'WBS chi tiết'!F46</f>
      </c>
      <c r="D46" s="43">
        <f>'WBS chi tiết'!N46</f>
      </c>
      <c r="E46" s="43">
        <f>'WBS chi tiết'!O46</f>
      </c>
      <c r="F46" s="42"/>
      <c r="G46" s="42"/>
      <c r="H46" s="44"/>
      <c r="I46" s="42"/>
      <c r="J46" s="42"/>
      <c r="K46" s="42"/>
      <c r="L46" s="42"/>
      <c r="M46" s="42"/>
      <c r="N46" s="44"/>
      <c r="O46" s="42"/>
      <c r="P46" s="42"/>
      <c r="Q46" s="42"/>
      <c r="R46" s="42"/>
      <c r="S46" s="42"/>
      <c r="T46" s="44"/>
      <c r="U46" s="42"/>
      <c r="V46" s="42"/>
      <c r="W46" s="42"/>
      <c r="X46" s="42"/>
      <c r="Y46" s="42"/>
      <c r="Z46" s="44"/>
      <c r="AA46" s="42"/>
      <c r="AB46" s="42"/>
      <c r="AC46" s="42"/>
      <c r="AD46" s="42"/>
      <c r="AE46" s="42"/>
      <c r="AF46" s="44"/>
      <c r="AG46" s="42"/>
      <c r="AH46" s="42"/>
      <c r="AI46" s="42"/>
      <c r="AJ46" s="42"/>
      <c r="AK46" s="42"/>
      <c r="AL46" s="44"/>
      <c r="AM46" s="42"/>
    </row>
    <row r="47" spans="1:39" s="41" customFormat="1" x14ac:dyDescent="0.25">
      <c r="A47" s="42">
        <f>'WBS chi tiết'!A47</f>
      </c>
      <c r="B47" s="42" t="s">
        <v>950</v>
      </c>
      <c r="C47" s="42">
        <f>'WBS chi tiết'!F47</f>
      </c>
      <c r="D47" s="43">
        <f>'WBS chi tiết'!N47</f>
      </c>
      <c r="E47" s="43">
        <f>'WBS chi tiết'!O47</f>
      </c>
      <c r="F47" s="42"/>
      <c r="G47" s="42"/>
      <c r="H47" s="44"/>
      <c r="I47" s="42"/>
      <c r="J47" s="42"/>
      <c r="K47" s="42"/>
      <c r="L47" s="42"/>
      <c r="M47" s="42"/>
      <c r="N47" s="44"/>
      <c r="O47" s="42"/>
      <c r="P47" s="42"/>
      <c r="Q47" s="42"/>
      <c r="R47" s="42"/>
      <c r="S47" s="42"/>
      <c r="T47" s="44"/>
      <c r="U47" s="42"/>
      <c r="V47" s="42"/>
      <c r="W47" s="42"/>
      <c r="X47" s="42"/>
      <c r="Y47" s="42"/>
      <c r="Z47" s="44"/>
      <c r="AA47" s="42"/>
      <c r="AB47" s="42"/>
      <c r="AC47" s="42"/>
      <c r="AD47" s="42"/>
      <c r="AE47" s="42"/>
      <c r="AF47" s="44"/>
      <c r="AG47" s="42"/>
      <c r="AH47" s="42"/>
      <c r="AI47" s="42"/>
      <c r="AJ47" s="42"/>
      <c r="AK47" s="42"/>
      <c r="AL47" s="44"/>
      <c r="AM47" s="42"/>
    </row>
    <row r="48" spans="1:39" s="41" customFormat="1" x14ac:dyDescent="0.25">
      <c r="A48" s="42">
        <f>'WBS chi tiết'!A48</f>
      </c>
      <c r="B48" s="42" t="s">
        <v>951</v>
      </c>
      <c r="C48" s="42">
        <f>'WBS chi tiết'!F48</f>
      </c>
      <c r="D48" s="43">
        <f>'WBS chi tiết'!N48</f>
      </c>
      <c r="E48" s="43">
        <f>'WBS chi tiết'!O48</f>
      </c>
      <c r="F48" s="42"/>
      <c r="G48" s="42"/>
      <c r="H48" s="44"/>
      <c r="I48" s="42"/>
      <c r="J48" s="42"/>
      <c r="K48" s="42"/>
      <c r="L48" s="42"/>
      <c r="M48" s="42"/>
      <c r="N48" s="44"/>
      <c r="O48" s="42"/>
      <c r="P48" s="42"/>
      <c r="Q48" s="42"/>
      <c r="R48" s="42"/>
      <c r="S48" s="42"/>
      <c r="T48" s="44"/>
      <c r="U48" s="42"/>
      <c r="V48" s="42"/>
      <c r="W48" s="42"/>
      <c r="X48" s="42"/>
      <c r="Y48" s="42"/>
      <c r="Z48" s="44"/>
      <c r="AA48" s="42"/>
      <c r="AB48" s="42"/>
      <c r="AC48" s="42"/>
      <c r="AD48" s="42"/>
      <c r="AE48" s="42"/>
      <c r="AF48" s="44"/>
      <c r="AG48" s="42"/>
      <c r="AH48" s="42"/>
      <c r="AI48" s="42"/>
      <c r="AJ48" s="42"/>
      <c r="AK48" s="42"/>
      <c r="AL48" s="44"/>
      <c r="AM48" s="42"/>
    </row>
    <row r="49" spans="1:39" s="41" customFormat="1" x14ac:dyDescent="0.25">
      <c r="A49" s="42">
        <f>'WBS chi tiết'!A49</f>
      </c>
      <c r="B49" s="42" t="s">
        <v>952</v>
      </c>
      <c r="C49" s="42">
        <f>'WBS chi tiết'!F49</f>
      </c>
      <c r="D49" s="43">
        <f>'WBS chi tiết'!N49</f>
      </c>
      <c r="E49" s="43">
        <f>'WBS chi tiết'!O49</f>
      </c>
      <c r="F49" s="42"/>
      <c r="G49" s="42"/>
      <c r="H49" s="44"/>
      <c r="I49" s="42"/>
      <c r="J49" s="42"/>
      <c r="K49" s="42"/>
      <c r="L49" s="42"/>
      <c r="M49" s="42"/>
      <c r="N49" s="44"/>
      <c r="O49" s="42"/>
      <c r="P49" s="42"/>
      <c r="Q49" s="42"/>
      <c r="R49" s="42"/>
      <c r="S49" s="42"/>
      <c r="T49" s="44"/>
      <c r="U49" s="42"/>
      <c r="V49" s="42"/>
      <c r="W49" s="42"/>
      <c r="X49" s="42"/>
      <c r="Y49" s="42"/>
      <c r="Z49" s="44"/>
      <c r="AA49" s="42"/>
      <c r="AB49" s="42"/>
      <c r="AC49" s="42"/>
      <c r="AD49" s="42"/>
      <c r="AE49" s="42"/>
      <c r="AF49" s="44"/>
      <c r="AG49" s="42"/>
      <c r="AH49" s="42"/>
      <c r="AI49" s="42"/>
      <c r="AJ49" s="42"/>
      <c r="AK49" s="42"/>
      <c r="AL49" s="44"/>
      <c r="AM49" s="42"/>
    </row>
    <row r="50" spans="1:39" s="41" customFormat="1" x14ac:dyDescent="0.25">
      <c r="A50" s="42">
        <f>'WBS chi tiết'!A50</f>
      </c>
      <c r="B50" s="42" t="s">
        <v>953</v>
      </c>
      <c r="C50" s="42">
        <f>'WBS chi tiết'!F50</f>
      </c>
      <c r="D50" s="43">
        <f>'WBS chi tiết'!N50</f>
      </c>
      <c r="E50" s="43">
        <f>'WBS chi tiết'!O50</f>
      </c>
      <c r="F50" s="42"/>
      <c r="G50" s="42"/>
      <c r="H50" s="44"/>
      <c r="I50" s="42"/>
      <c r="J50" s="42"/>
      <c r="K50" s="42"/>
      <c r="L50" s="42"/>
      <c r="M50" s="42"/>
      <c r="N50" s="44"/>
      <c r="O50" s="42"/>
      <c r="P50" s="42"/>
      <c r="Q50" s="42"/>
      <c r="R50" s="42"/>
      <c r="S50" s="42"/>
      <c r="T50" s="44"/>
      <c r="U50" s="42"/>
      <c r="V50" s="42"/>
      <c r="W50" s="42"/>
      <c r="X50" s="42"/>
      <c r="Y50" s="42"/>
      <c r="Z50" s="44"/>
      <c r="AA50" s="42"/>
      <c r="AB50" s="42"/>
      <c r="AC50" s="42"/>
      <c r="AD50" s="42"/>
      <c r="AE50" s="42"/>
      <c r="AF50" s="44"/>
      <c r="AG50" s="42"/>
      <c r="AH50" s="42"/>
      <c r="AI50" s="42"/>
      <c r="AJ50" s="42"/>
      <c r="AK50" s="42"/>
      <c r="AL50" s="44"/>
      <c r="AM50" s="42"/>
    </row>
    <row r="51" spans="1:39" s="41" customFormat="1" x14ac:dyDescent="0.25">
      <c r="A51" s="42">
        <f>'WBS chi tiết'!A51</f>
      </c>
      <c r="B51" s="42" t="s">
        <v>954</v>
      </c>
      <c r="C51" s="42">
        <f>'WBS chi tiết'!F51</f>
      </c>
      <c r="D51" s="43">
        <f>'WBS chi tiết'!N51</f>
      </c>
      <c r="E51" s="43">
        <f>'WBS chi tiết'!O51</f>
      </c>
      <c r="F51" s="42"/>
      <c r="G51" s="42"/>
      <c r="H51" s="44"/>
      <c r="I51" s="42"/>
      <c r="J51" s="42"/>
      <c r="K51" s="42"/>
      <c r="L51" s="42"/>
      <c r="M51" s="42"/>
      <c r="N51" s="44"/>
      <c r="O51" s="42"/>
      <c r="P51" s="42"/>
      <c r="Q51" s="42"/>
      <c r="R51" s="42"/>
      <c r="S51" s="42"/>
      <c r="T51" s="44"/>
      <c r="U51" s="42"/>
      <c r="V51" s="42"/>
      <c r="W51" s="42"/>
      <c r="X51" s="42"/>
      <c r="Y51" s="42"/>
      <c r="Z51" s="44"/>
      <c r="AA51" s="42"/>
      <c r="AB51" s="42"/>
      <c r="AC51" s="42"/>
      <c r="AD51" s="42"/>
      <c r="AE51" s="42"/>
      <c r="AF51" s="44"/>
      <c r="AG51" s="42"/>
      <c r="AH51" s="42"/>
      <c r="AI51" s="42"/>
      <c r="AJ51" s="42"/>
      <c r="AK51" s="42"/>
      <c r="AL51" s="44"/>
      <c r="AM51" s="42"/>
    </row>
    <row r="52" spans="1:39" s="41" customFormat="1" x14ac:dyDescent="0.25">
      <c r="A52" s="42">
        <f>'WBS chi tiết'!A52</f>
      </c>
      <c r="B52" s="42" t="s">
        <v>955</v>
      </c>
      <c r="C52" s="42">
        <f>'WBS chi tiết'!F52</f>
      </c>
      <c r="D52" s="43">
        <f>'WBS chi tiết'!N52</f>
      </c>
      <c r="E52" s="43">
        <f>'WBS chi tiết'!O52</f>
      </c>
      <c r="F52" s="42"/>
      <c r="G52" s="42"/>
      <c r="H52" s="44"/>
      <c r="I52" s="42"/>
      <c r="J52" s="42"/>
      <c r="K52" s="42"/>
      <c r="L52" s="42"/>
      <c r="M52" s="42"/>
      <c r="N52" s="44"/>
      <c r="O52" s="42"/>
      <c r="P52" s="42"/>
      <c r="Q52" s="42"/>
      <c r="R52" s="42"/>
      <c r="S52" s="42"/>
      <c r="T52" s="44"/>
      <c r="U52" s="42"/>
      <c r="V52" s="42"/>
      <c r="W52" s="42"/>
      <c r="X52" s="42"/>
      <c r="Y52" s="42"/>
      <c r="Z52" s="44"/>
      <c r="AA52" s="42"/>
      <c r="AB52" s="42"/>
      <c r="AC52" s="42"/>
      <c r="AD52" s="42"/>
      <c r="AE52" s="42"/>
      <c r="AF52" s="44"/>
      <c r="AG52" s="42"/>
      <c r="AH52" s="42"/>
      <c r="AI52" s="42"/>
      <c r="AJ52" s="42"/>
      <c r="AK52" s="42"/>
      <c r="AL52" s="44"/>
      <c r="AM52" s="42"/>
    </row>
    <row r="53" spans="1:39" s="41" customFormat="1" x14ac:dyDescent="0.25">
      <c r="A53" s="42">
        <f>'WBS chi tiết'!A53</f>
      </c>
      <c r="B53" s="42" t="s">
        <v>956</v>
      </c>
      <c r="C53" s="42">
        <f>'WBS chi tiết'!F53</f>
      </c>
      <c r="D53" s="43">
        <f>'WBS chi tiết'!N53</f>
      </c>
      <c r="E53" s="43">
        <f>'WBS chi tiết'!O53</f>
      </c>
      <c r="F53" s="42"/>
      <c r="G53" s="42"/>
      <c r="H53" s="44"/>
      <c r="I53" s="42"/>
      <c r="J53" s="42"/>
      <c r="K53" s="42"/>
      <c r="L53" s="42"/>
      <c r="M53" s="42"/>
      <c r="N53" s="44"/>
      <c r="O53" s="42"/>
      <c r="P53" s="42"/>
      <c r="Q53" s="42"/>
      <c r="R53" s="42"/>
      <c r="S53" s="42"/>
      <c r="T53" s="44"/>
      <c r="U53" s="42"/>
      <c r="V53" s="42"/>
      <c r="W53" s="42"/>
      <c r="X53" s="42"/>
      <c r="Y53" s="42"/>
      <c r="Z53" s="44"/>
      <c r="AA53" s="42"/>
      <c r="AB53" s="42"/>
      <c r="AC53" s="42"/>
      <c r="AD53" s="42"/>
      <c r="AE53" s="42"/>
      <c r="AF53" s="44"/>
      <c r="AG53" s="42"/>
      <c r="AH53" s="42"/>
      <c r="AI53" s="42"/>
      <c r="AJ53" s="42"/>
      <c r="AK53" s="42"/>
      <c r="AL53" s="44"/>
      <c r="AM53" s="42"/>
    </row>
    <row r="54" spans="1:39" s="41" customFormat="1" x14ac:dyDescent="0.25">
      <c r="A54" s="42">
        <f>'WBS chi tiết'!A54</f>
      </c>
      <c r="B54" s="42" t="s">
        <v>957</v>
      </c>
      <c r="C54" s="42">
        <f>'WBS chi tiết'!F54</f>
      </c>
      <c r="D54" s="43">
        <f>'WBS chi tiết'!N54</f>
      </c>
      <c r="E54" s="43">
        <f>'WBS chi tiết'!O54</f>
      </c>
      <c r="F54" s="42"/>
      <c r="G54" s="42"/>
      <c r="H54" s="44"/>
      <c r="I54" s="42"/>
      <c r="J54" s="42"/>
      <c r="K54" s="42"/>
      <c r="L54" s="42"/>
      <c r="M54" s="42"/>
      <c r="N54" s="44"/>
      <c r="O54" s="42"/>
      <c r="P54" s="42"/>
      <c r="Q54" s="42"/>
      <c r="R54" s="42"/>
      <c r="S54" s="42"/>
      <c r="T54" s="44"/>
      <c r="U54" s="42"/>
      <c r="V54" s="42"/>
      <c r="W54" s="42"/>
      <c r="X54" s="42"/>
      <c r="Y54" s="42"/>
      <c r="Z54" s="44"/>
      <c r="AA54" s="42"/>
      <c r="AB54" s="42"/>
      <c r="AC54" s="42"/>
      <c r="AD54" s="42"/>
      <c r="AE54" s="42"/>
      <c r="AF54" s="44"/>
      <c r="AG54" s="42"/>
      <c r="AH54" s="42"/>
      <c r="AI54" s="42"/>
      <c r="AJ54" s="42"/>
      <c r="AK54" s="42"/>
      <c r="AL54" s="44"/>
      <c r="AM54" s="42"/>
    </row>
    <row r="55" spans="1:39" s="41" customFormat="1" x14ac:dyDescent="0.25">
      <c r="A55" s="42">
        <f>'WBS chi tiết'!A55</f>
      </c>
      <c r="B55" s="42" t="s">
        <v>958</v>
      </c>
      <c r="C55" s="42">
        <f>'WBS chi tiết'!F55</f>
      </c>
      <c r="D55" s="43">
        <f>'WBS chi tiết'!N55</f>
      </c>
      <c r="E55" s="43">
        <f>'WBS chi tiết'!O55</f>
      </c>
      <c r="F55" s="42"/>
      <c r="G55" s="42"/>
      <c r="H55" s="44"/>
      <c r="I55" s="42"/>
      <c r="J55" s="42"/>
      <c r="K55" s="42"/>
      <c r="L55" s="42"/>
      <c r="M55" s="42"/>
      <c r="N55" s="44"/>
      <c r="O55" s="42"/>
      <c r="P55" s="42"/>
      <c r="Q55" s="42"/>
      <c r="R55" s="42"/>
      <c r="S55" s="42"/>
      <c r="T55" s="44"/>
      <c r="U55" s="42"/>
      <c r="V55" s="42"/>
      <c r="W55" s="42"/>
      <c r="X55" s="42"/>
      <c r="Y55" s="42"/>
      <c r="Z55" s="44"/>
      <c r="AA55" s="42"/>
      <c r="AB55" s="42"/>
      <c r="AC55" s="42"/>
      <c r="AD55" s="42"/>
      <c r="AE55" s="42"/>
      <c r="AF55" s="44"/>
      <c r="AG55" s="42"/>
      <c r="AH55" s="42"/>
      <c r="AI55" s="42"/>
      <c r="AJ55" s="42"/>
      <c r="AK55" s="42"/>
      <c r="AL55" s="44"/>
      <c r="AM55" s="42"/>
    </row>
    <row r="56" spans="1:39" s="41" customFormat="1" x14ac:dyDescent="0.25">
      <c r="A56" s="42">
        <f>'WBS chi tiết'!A56</f>
      </c>
      <c r="B56" s="42" t="s">
        <v>959</v>
      </c>
      <c r="C56" s="42">
        <f>'WBS chi tiết'!F56</f>
      </c>
      <c r="D56" s="43">
        <f>'WBS chi tiết'!N56</f>
      </c>
      <c r="E56" s="43">
        <f>'WBS chi tiết'!O56</f>
      </c>
      <c r="F56" s="42"/>
      <c r="G56" s="42"/>
      <c r="H56" s="44"/>
      <c r="I56" s="42"/>
      <c r="J56" s="42"/>
      <c r="K56" s="42"/>
      <c r="L56" s="42"/>
      <c r="M56" s="42"/>
      <c r="N56" s="44"/>
      <c r="O56" s="42"/>
      <c r="P56" s="42"/>
      <c r="Q56" s="42"/>
      <c r="R56" s="42"/>
      <c r="S56" s="42"/>
      <c r="T56" s="44"/>
      <c r="U56" s="42"/>
      <c r="V56" s="42"/>
      <c r="W56" s="42"/>
      <c r="X56" s="42"/>
      <c r="Y56" s="42"/>
      <c r="Z56" s="44"/>
      <c r="AA56" s="42"/>
      <c r="AB56" s="42"/>
      <c r="AC56" s="42"/>
      <c r="AD56" s="42"/>
      <c r="AE56" s="42"/>
      <c r="AF56" s="44"/>
      <c r="AG56" s="42"/>
      <c r="AH56" s="42"/>
      <c r="AI56" s="42"/>
      <c r="AJ56" s="42"/>
      <c r="AK56" s="42"/>
      <c r="AL56" s="44"/>
      <c r="AM56" s="42"/>
    </row>
    <row r="57" spans="1:39" s="41" customFormat="1" x14ac:dyDescent="0.25">
      <c r="A57" s="42">
        <f>'WBS chi tiết'!A57</f>
      </c>
      <c r="B57" s="42" t="s">
        <v>960</v>
      </c>
      <c r="C57" s="42">
        <f>'WBS chi tiết'!F57</f>
      </c>
      <c r="D57" s="43">
        <f>'WBS chi tiết'!N57</f>
      </c>
      <c r="E57" s="43">
        <f>'WBS chi tiết'!O57</f>
      </c>
      <c r="F57" s="42"/>
      <c r="G57" s="42"/>
      <c r="H57" s="44"/>
      <c r="I57" s="42"/>
      <c r="J57" s="42"/>
      <c r="K57" s="42"/>
      <c r="L57" s="42"/>
      <c r="M57" s="42"/>
      <c r="N57" s="44"/>
      <c r="O57" s="42"/>
      <c r="P57" s="42"/>
      <c r="Q57" s="42"/>
      <c r="R57" s="42"/>
      <c r="S57" s="42"/>
      <c r="T57" s="44"/>
      <c r="U57" s="42"/>
      <c r="V57" s="42"/>
      <c r="W57" s="42"/>
      <c r="X57" s="42"/>
      <c r="Y57" s="42"/>
      <c r="Z57" s="44"/>
      <c r="AA57" s="42"/>
      <c r="AB57" s="42"/>
      <c r="AC57" s="42"/>
      <c r="AD57" s="42"/>
      <c r="AE57" s="42"/>
      <c r="AF57" s="44"/>
      <c r="AG57" s="42"/>
      <c r="AH57" s="42"/>
      <c r="AI57" s="42"/>
      <c r="AJ57" s="42"/>
      <c r="AK57" s="42"/>
      <c r="AL57" s="44"/>
      <c r="AM57" s="42"/>
    </row>
    <row r="58" spans="1:39" s="41" customFormat="1" x14ac:dyDescent="0.25">
      <c r="A58" s="42">
        <f>'WBS chi tiết'!A58</f>
      </c>
      <c r="B58" s="42" t="s">
        <v>961</v>
      </c>
      <c r="C58" s="42">
        <f>'WBS chi tiết'!F58</f>
      </c>
      <c r="D58" s="43">
        <f>'WBS chi tiết'!N58</f>
      </c>
      <c r="E58" s="43">
        <f>'WBS chi tiết'!O58</f>
      </c>
      <c r="F58" s="42"/>
      <c r="G58" s="42"/>
      <c r="H58" s="44"/>
      <c r="I58" s="42"/>
      <c r="J58" s="42"/>
      <c r="K58" s="42"/>
      <c r="L58" s="42"/>
      <c r="M58" s="42"/>
      <c r="N58" s="44"/>
      <c r="O58" s="42"/>
      <c r="P58" s="42"/>
      <c r="Q58" s="42"/>
      <c r="R58" s="42"/>
      <c r="S58" s="42"/>
      <c r="T58" s="44"/>
      <c r="U58" s="42"/>
      <c r="V58" s="42"/>
      <c r="W58" s="42"/>
      <c r="X58" s="42"/>
      <c r="Y58" s="42"/>
      <c r="Z58" s="44"/>
      <c r="AA58" s="42"/>
      <c r="AB58" s="42"/>
      <c r="AC58" s="42"/>
      <c r="AD58" s="42"/>
      <c r="AE58" s="42"/>
      <c r="AF58" s="44"/>
      <c r="AG58" s="42"/>
      <c r="AH58" s="42"/>
      <c r="AI58" s="42"/>
      <c r="AJ58" s="42"/>
      <c r="AK58" s="42"/>
      <c r="AL58" s="44"/>
      <c r="AM58" s="42"/>
    </row>
    <row r="59" spans="1:39" s="41" customFormat="1" x14ac:dyDescent="0.25">
      <c r="A59" s="42">
        <f>'WBS chi tiết'!A59</f>
      </c>
      <c r="B59" s="42" t="s">
        <v>962</v>
      </c>
      <c r="C59" s="42">
        <f>'WBS chi tiết'!F59</f>
      </c>
      <c r="D59" s="43">
        <f>'WBS chi tiết'!N59</f>
      </c>
      <c r="E59" s="43">
        <f>'WBS chi tiết'!O59</f>
      </c>
      <c r="F59" s="42"/>
      <c r="G59" s="42"/>
      <c r="H59" s="44"/>
      <c r="I59" s="42"/>
      <c r="J59" s="42"/>
      <c r="K59" s="42"/>
      <c r="L59" s="42"/>
      <c r="M59" s="42"/>
      <c r="N59" s="44"/>
      <c r="O59" s="42"/>
      <c r="P59" s="42"/>
      <c r="Q59" s="42"/>
      <c r="R59" s="42"/>
      <c r="S59" s="42"/>
      <c r="T59" s="44"/>
      <c r="U59" s="42"/>
      <c r="V59" s="42"/>
      <c r="W59" s="42"/>
      <c r="X59" s="42"/>
      <c r="Y59" s="42"/>
      <c r="Z59" s="44"/>
      <c r="AA59" s="42"/>
      <c r="AB59" s="42"/>
      <c r="AC59" s="42"/>
      <c r="AD59" s="42"/>
      <c r="AE59" s="42"/>
      <c r="AF59" s="44"/>
      <c r="AG59" s="42"/>
      <c r="AH59" s="42"/>
      <c r="AI59" s="42"/>
      <c r="AJ59" s="42"/>
      <c r="AK59" s="42"/>
      <c r="AL59" s="44"/>
      <c r="AM59" s="42"/>
    </row>
    <row r="60" spans="1:39" s="41" customFormat="1" x14ac:dyDescent="0.25">
      <c r="A60" s="42">
        <f>'WBS chi tiết'!A60</f>
      </c>
      <c r="B60" s="42" t="s">
        <v>963</v>
      </c>
      <c r="C60" s="42">
        <f>'WBS chi tiết'!F60</f>
      </c>
      <c r="D60" s="43">
        <f>'WBS chi tiết'!N60</f>
      </c>
      <c r="E60" s="43">
        <f>'WBS chi tiết'!O60</f>
      </c>
      <c r="F60" s="42"/>
      <c r="G60" s="42"/>
      <c r="H60" s="44"/>
      <c r="I60" s="42"/>
      <c r="J60" s="42"/>
      <c r="K60" s="42"/>
      <c r="L60" s="42"/>
      <c r="M60" s="42"/>
      <c r="N60" s="44"/>
      <c r="O60" s="42"/>
      <c r="P60" s="42"/>
      <c r="Q60" s="42"/>
      <c r="R60" s="42"/>
      <c r="S60" s="42"/>
      <c r="T60" s="44"/>
      <c r="U60" s="42"/>
      <c r="V60" s="42"/>
      <c r="W60" s="42"/>
      <c r="X60" s="42"/>
      <c r="Y60" s="42"/>
      <c r="Z60" s="44"/>
      <c r="AA60" s="42"/>
      <c r="AB60" s="42"/>
      <c r="AC60" s="42"/>
      <c r="AD60" s="42"/>
      <c r="AE60" s="42"/>
      <c r="AF60" s="44"/>
      <c r="AG60" s="42"/>
      <c r="AH60" s="42"/>
      <c r="AI60" s="42"/>
      <c r="AJ60" s="42"/>
      <c r="AK60" s="42"/>
      <c r="AL60" s="44"/>
      <c r="AM60" s="42"/>
    </row>
    <row r="61" spans="1:39" s="41" customFormat="1" x14ac:dyDescent="0.25">
      <c r="A61" s="42">
        <f>'WBS chi tiết'!A61</f>
      </c>
      <c r="B61" s="42" t="s">
        <v>964</v>
      </c>
      <c r="C61" s="42">
        <f>'WBS chi tiết'!F61</f>
      </c>
      <c r="D61" s="43">
        <f>'WBS chi tiết'!N61</f>
      </c>
      <c r="E61" s="43">
        <f>'WBS chi tiết'!O61</f>
      </c>
      <c r="F61" s="42"/>
      <c r="G61" s="42"/>
      <c r="H61" s="44"/>
      <c r="I61" s="42"/>
      <c r="J61" s="42"/>
      <c r="K61" s="42"/>
      <c r="L61" s="42"/>
      <c r="M61" s="42"/>
      <c r="N61" s="44"/>
      <c r="O61" s="42"/>
      <c r="P61" s="42"/>
      <c r="Q61" s="42"/>
      <c r="R61" s="42"/>
      <c r="S61" s="42"/>
      <c r="T61" s="44"/>
      <c r="U61" s="42"/>
      <c r="V61" s="42"/>
      <c r="W61" s="42"/>
      <c r="X61" s="42"/>
      <c r="Y61" s="42"/>
      <c r="Z61" s="44"/>
      <c r="AA61" s="42"/>
      <c r="AB61" s="42"/>
      <c r="AC61" s="42"/>
      <c r="AD61" s="42"/>
      <c r="AE61" s="42"/>
      <c r="AF61" s="44"/>
      <c r="AG61" s="42"/>
      <c r="AH61" s="42"/>
      <c r="AI61" s="42"/>
      <c r="AJ61" s="42"/>
      <c r="AK61" s="42"/>
      <c r="AL61" s="44"/>
      <c r="AM61" s="42"/>
    </row>
    <row r="62" spans="1:39" s="41" customFormat="1" x14ac:dyDescent="0.25">
      <c r="A62" s="42">
        <f>'WBS chi tiết'!A62</f>
      </c>
      <c r="B62" s="42" t="s">
        <v>965</v>
      </c>
      <c r="C62" s="42">
        <f>'WBS chi tiết'!F62</f>
      </c>
      <c r="D62" s="43">
        <f>'WBS chi tiết'!N62</f>
      </c>
      <c r="E62" s="43">
        <f>'WBS chi tiết'!O62</f>
      </c>
      <c r="F62" s="42"/>
      <c r="G62" s="42"/>
      <c r="H62" s="44"/>
      <c r="I62" s="42"/>
      <c r="J62" s="42"/>
      <c r="K62" s="42"/>
      <c r="L62" s="42"/>
      <c r="M62" s="42"/>
      <c r="N62" s="44"/>
      <c r="O62" s="42"/>
      <c r="P62" s="42"/>
      <c r="Q62" s="42"/>
      <c r="R62" s="42"/>
      <c r="S62" s="42"/>
      <c r="T62" s="44"/>
      <c r="U62" s="42"/>
      <c r="V62" s="42"/>
      <c r="W62" s="42"/>
      <c r="X62" s="42"/>
      <c r="Y62" s="42"/>
      <c r="Z62" s="44"/>
      <c r="AA62" s="42"/>
      <c r="AB62" s="42"/>
      <c r="AC62" s="42"/>
      <c r="AD62" s="42"/>
      <c r="AE62" s="42"/>
      <c r="AF62" s="44"/>
      <c r="AG62" s="42"/>
      <c r="AH62" s="42"/>
      <c r="AI62" s="42"/>
      <c r="AJ62" s="42"/>
      <c r="AK62" s="42"/>
      <c r="AL62" s="44"/>
      <c r="AM62" s="42"/>
    </row>
    <row r="63" spans="1:39" s="41" customFormat="1" x14ac:dyDescent="0.25">
      <c r="A63" s="42">
        <f>'WBS chi tiết'!A63</f>
      </c>
      <c r="B63" s="42" t="s">
        <v>966</v>
      </c>
      <c r="C63" s="42">
        <f>'WBS chi tiết'!F63</f>
      </c>
      <c r="D63" s="43">
        <f>'WBS chi tiết'!N63</f>
      </c>
      <c r="E63" s="43">
        <f>'WBS chi tiết'!O63</f>
      </c>
      <c r="F63" s="42"/>
      <c r="G63" s="42"/>
      <c r="H63" s="44"/>
      <c r="I63" s="42"/>
      <c r="J63" s="42"/>
      <c r="K63" s="42"/>
      <c r="L63" s="42"/>
      <c r="M63" s="42"/>
      <c r="N63" s="44"/>
      <c r="O63" s="42"/>
      <c r="P63" s="42"/>
      <c r="Q63" s="42"/>
      <c r="R63" s="42"/>
      <c r="S63" s="42"/>
      <c r="T63" s="44"/>
      <c r="U63" s="42"/>
      <c r="V63" s="42"/>
      <c r="W63" s="42"/>
      <c r="X63" s="42"/>
      <c r="Y63" s="42"/>
      <c r="Z63" s="44"/>
      <c r="AA63" s="42"/>
      <c r="AB63" s="42"/>
      <c r="AC63" s="42"/>
      <c r="AD63" s="42"/>
      <c r="AE63" s="42"/>
      <c r="AF63" s="44"/>
      <c r="AG63" s="42"/>
      <c r="AH63" s="42"/>
      <c r="AI63" s="42"/>
      <c r="AJ63" s="42"/>
      <c r="AK63" s="42"/>
      <c r="AL63" s="44"/>
      <c r="AM63" s="42"/>
    </row>
    <row r="64" spans="1:39" s="41" customFormat="1" x14ac:dyDescent="0.25">
      <c r="A64" s="42">
        <f>'WBS chi tiết'!A64</f>
      </c>
      <c r="B64" s="42" t="s">
        <v>694</v>
      </c>
      <c r="C64" s="42">
        <f>'WBS chi tiết'!F64</f>
      </c>
      <c r="D64" s="43">
        <f>'WBS chi tiết'!N64</f>
      </c>
      <c r="E64" s="43">
        <f>'WBS chi tiết'!O64</f>
      </c>
      <c r="F64" s="42"/>
      <c r="G64" s="42"/>
      <c r="H64" s="44"/>
      <c r="I64" s="42"/>
      <c r="J64" s="42"/>
      <c r="K64" s="42"/>
      <c r="L64" s="42"/>
      <c r="M64" s="42"/>
      <c r="N64" s="44"/>
      <c r="O64" s="42"/>
      <c r="P64" s="42"/>
      <c r="Q64" s="42"/>
      <c r="R64" s="42"/>
      <c r="S64" s="42"/>
      <c r="T64" s="44"/>
      <c r="U64" s="42"/>
      <c r="V64" s="42"/>
      <c r="W64" s="42"/>
      <c r="X64" s="42"/>
      <c r="Y64" s="42"/>
      <c r="Z64" s="44"/>
      <c r="AA64" s="42"/>
      <c r="AB64" s="42"/>
      <c r="AC64" s="42"/>
      <c r="AD64" s="42"/>
      <c r="AE64" s="42"/>
      <c r="AF64" s="44"/>
      <c r="AG64" s="42"/>
      <c r="AH64" s="42"/>
      <c r="AI64" s="42"/>
      <c r="AJ64" s="42"/>
      <c r="AK64" s="42"/>
      <c r="AL64" s="44"/>
      <c r="AM64" s="42"/>
    </row>
    <row r="65" spans="1:39" s="41" customFormat="1" x14ac:dyDescent="0.25">
      <c r="A65" s="42">
        <f>'WBS chi tiết'!A65</f>
      </c>
      <c r="B65" s="42" t="s">
        <v>967</v>
      </c>
      <c r="C65" s="42">
        <f>'WBS chi tiết'!F65</f>
      </c>
      <c r="D65" s="43">
        <f>'WBS chi tiết'!N65</f>
      </c>
      <c r="E65" s="43">
        <f>'WBS chi tiết'!O65</f>
      </c>
      <c r="F65" s="42"/>
      <c r="G65" s="42"/>
      <c r="H65" s="44"/>
      <c r="I65" s="42"/>
      <c r="J65" s="42"/>
      <c r="K65" s="42"/>
      <c r="L65" s="42"/>
      <c r="M65" s="42"/>
      <c r="N65" s="44"/>
      <c r="O65" s="42"/>
      <c r="P65" s="42"/>
      <c r="Q65" s="42"/>
      <c r="R65" s="42"/>
      <c r="S65" s="42"/>
      <c r="T65" s="44"/>
      <c r="U65" s="42"/>
      <c r="V65" s="42"/>
      <c r="W65" s="42"/>
      <c r="X65" s="42"/>
      <c r="Y65" s="42"/>
      <c r="Z65" s="44"/>
      <c r="AA65" s="42"/>
      <c r="AB65" s="42"/>
      <c r="AC65" s="42"/>
      <c r="AD65" s="42"/>
      <c r="AE65" s="42"/>
      <c r="AF65" s="44"/>
      <c r="AG65" s="42"/>
      <c r="AH65" s="42"/>
      <c r="AI65" s="42"/>
      <c r="AJ65" s="42"/>
      <c r="AK65" s="42"/>
      <c r="AL65" s="44"/>
      <c r="AM65" s="42"/>
    </row>
    <row r="66" spans="1:39" s="41" customFormat="1" x14ac:dyDescent="0.25">
      <c r="A66" s="42">
        <f>'WBS chi tiết'!A66</f>
      </c>
      <c r="B66" s="42" t="s">
        <v>968</v>
      </c>
      <c r="C66" s="42">
        <f>'WBS chi tiết'!F66</f>
      </c>
      <c r="D66" s="43">
        <f>'WBS chi tiết'!N66</f>
      </c>
      <c r="E66" s="43">
        <f>'WBS chi tiết'!O66</f>
      </c>
      <c r="F66" s="42"/>
      <c r="G66" s="42"/>
      <c r="H66" s="44"/>
      <c r="I66" s="42"/>
      <c r="J66" s="42"/>
      <c r="K66" s="42"/>
      <c r="L66" s="42"/>
      <c r="M66" s="42"/>
      <c r="N66" s="44"/>
      <c r="O66" s="42"/>
      <c r="P66" s="42"/>
      <c r="Q66" s="42"/>
      <c r="R66" s="42"/>
      <c r="S66" s="42"/>
      <c r="T66" s="44"/>
      <c r="U66" s="42"/>
      <c r="V66" s="42"/>
      <c r="W66" s="42"/>
      <c r="X66" s="42"/>
      <c r="Y66" s="42"/>
      <c r="Z66" s="44"/>
      <c r="AA66" s="42"/>
      <c r="AB66" s="42"/>
      <c r="AC66" s="42"/>
      <c r="AD66" s="42"/>
      <c r="AE66" s="42"/>
      <c r="AF66" s="44"/>
      <c r="AG66" s="42"/>
      <c r="AH66" s="42"/>
      <c r="AI66" s="42"/>
      <c r="AJ66" s="42"/>
      <c r="AK66" s="42"/>
      <c r="AL66" s="44"/>
      <c r="AM66" s="42"/>
    </row>
    <row r="67" spans="1:39" s="41" customFormat="1" x14ac:dyDescent="0.25">
      <c r="A67" s="42">
        <f>'WBS chi tiết'!A67</f>
      </c>
      <c r="B67" s="42" t="s">
        <v>969</v>
      </c>
      <c r="C67" s="42">
        <f>'WBS chi tiết'!F67</f>
      </c>
      <c r="D67" s="43">
        <f>'WBS chi tiết'!N67</f>
      </c>
      <c r="E67" s="43">
        <f>'WBS chi tiết'!O67</f>
      </c>
      <c r="F67" s="42"/>
      <c r="G67" s="42"/>
      <c r="H67" s="44"/>
      <c r="I67" s="42"/>
      <c r="J67" s="42"/>
      <c r="K67" s="42"/>
      <c r="L67" s="42"/>
      <c r="M67" s="42"/>
      <c r="N67" s="44"/>
      <c r="O67" s="42"/>
      <c r="P67" s="42"/>
      <c r="Q67" s="42"/>
      <c r="R67" s="42"/>
      <c r="S67" s="42"/>
      <c r="T67" s="44"/>
      <c r="U67" s="42"/>
      <c r="V67" s="42"/>
      <c r="W67" s="42"/>
      <c r="X67" s="42"/>
      <c r="Y67" s="42"/>
      <c r="Z67" s="44"/>
      <c r="AA67" s="42"/>
      <c r="AB67" s="42"/>
      <c r="AC67" s="42"/>
      <c r="AD67" s="42"/>
      <c r="AE67" s="42"/>
      <c r="AF67" s="44"/>
      <c r="AG67" s="42"/>
      <c r="AH67" s="42"/>
      <c r="AI67" s="42"/>
      <c r="AJ67" s="42"/>
      <c r="AK67" s="42"/>
      <c r="AL67" s="44"/>
      <c r="AM67" s="42"/>
    </row>
    <row r="68" spans="1:39" s="41" customFormat="1" x14ac:dyDescent="0.25">
      <c r="A68" s="42">
        <f>'WBS chi tiết'!A68</f>
      </c>
      <c r="B68" s="42" t="s">
        <v>970</v>
      </c>
      <c r="C68" s="42">
        <f>'WBS chi tiết'!F68</f>
      </c>
      <c r="D68" s="43">
        <f>'WBS chi tiết'!N68</f>
      </c>
      <c r="E68" s="43">
        <f>'WBS chi tiết'!O68</f>
      </c>
      <c r="F68" s="42"/>
      <c r="G68" s="42"/>
      <c r="H68" s="44"/>
      <c r="I68" s="42"/>
      <c r="J68" s="42"/>
      <c r="K68" s="42"/>
      <c r="L68" s="42"/>
      <c r="M68" s="42"/>
      <c r="N68" s="44"/>
      <c r="O68" s="42"/>
      <c r="P68" s="42"/>
      <c r="Q68" s="42"/>
      <c r="R68" s="42"/>
      <c r="S68" s="42"/>
      <c r="T68" s="44"/>
      <c r="U68" s="42"/>
      <c r="V68" s="42"/>
      <c r="W68" s="42"/>
      <c r="X68" s="42"/>
      <c r="Y68" s="42"/>
      <c r="Z68" s="44"/>
      <c r="AA68" s="42"/>
      <c r="AB68" s="42"/>
      <c r="AC68" s="42"/>
      <c r="AD68" s="42"/>
      <c r="AE68" s="42"/>
      <c r="AF68" s="44"/>
      <c r="AG68" s="42"/>
      <c r="AH68" s="42"/>
      <c r="AI68" s="42"/>
      <c r="AJ68" s="42"/>
      <c r="AK68" s="42"/>
      <c r="AL68" s="44"/>
      <c r="AM68" s="42"/>
    </row>
    <row r="69" spans="1:39" s="41" customFormat="1" x14ac:dyDescent="0.25">
      <c r="A69" s="42">
        <f>'WBS chi tiết'!A69</f>
      </c>
      <c r="B69" s="42" t="s">
        <v>971</v>
      </c>
      <c r="C69" s="42">
        <f>'WBS chi tiết'!F69</f>
      </c>
      <c r="D69" s="43">
        <f>'WBS chi tiết'!N69</f>
      </c>
      <c r="E69" s="43">
        <f>'WBS chi tiết'!O69</f>
      </c>
      <c r="F69" s="42"/>
      <c r="G69" s="42"/>
      <c r="H69" s="44"/>
      <c r="I69" s="42"/>
      <c r="J69" s="42"/>
      <c r="K69" s="42"/>
      <c r="L69" s="42"/>
      <c r="M69" s="42"/>
      <c r="N69" s="44"/>
      <c r="O69" s="42"/>
      <c r="P69" s="42"/>
      <c r="Q69" s="42"/>
      <c r="R69" s="42"/>
      <c r="S69" s="42"/>
      <c r="T69" s="44"/>
      <c r="U69" s="42"/>
      <c r="V69" s="42"/>
      <c r="W69" s="42"/>
      <c r="X69" s="42"/>
      <c r="Y69" s="42"/>
      <c r="Z69" s="44"/>
      <c r="AA69" s="42"/>
      <c r="AB69" s="42"/>
      <c r="AC69" s="42"/>
      <c r="AD69" s="42"/>
      <c r="AE69" s="42"/>
      <c r="AF69" s="44"/>
      <c r="AG69" s="42"/>
      <c r="AH69" s="42"/>
      <c r="AI69" s="42"/>
      <c r="AJ69" s="42"/>
      <c r="AK69" s="42"/>
      <c r="AL69" s="44"/>
      <c r="AM69" s="42"/>
    </row>
    <row r="70" spans="1:39" s="41" customFormat="1" x14ac:dyDescent="0.25">
      <c r="A70" s="42">
        <f>'WBS chi tiết'!A70</f>
      </c>
      <c r="B70" s="42" t="s">
        <v>972</v>
      </c>
      <c r="C70" s="42">
        <f>'WBS chi tiết'!F70</f>
      </c>
      <c r="D70" s="43">
        <f>'WBS chi tiết'!N70</f>
      </c>
      <c r="E70" s="43">
        <f>'WBS chi tiết'!O70</f>
      </c>
      <c r="F70" s="42"/>
      <c r="G70" s="42"/>
      <c r="H70" s="44"/>
      <c r="I70" s="42"/>
      <c r="J70" s="42"/>
      <c r="K70" s="42"/>
      <c r="L70" s="42"/>
      <c r="M70" s="42"/>
      <c r="N70" s="44"/>
      <c r="O70" s="42"/>
      <c r="P70" s="42"/>
      <c r="Q70" s="42"/>
      <c r="R70" s="42"/>
      <c r="S70" s="42"/>
      <c r="T70" s="44"/>
      <c r="U70" s="42"/>
      <c r="V70" s="42"/>
      <c r="W70" s="42"/>
      <c r="X70" s="42"/>
      <c r="Y70" s="42"/>
      <c r="Z70" s="44"/>
      <c r="AA70" s="42"/>
      <c r="AB70" s="42"/>
      <c r="AC70" s="42"/>
      <c r="AD70" s="42"/>
      <c r="AE70" s="42"/>
      <c r="AF70" s="44"/>
      <c r="AG70" s="42"/>
      <c r="AH70" s="42"/>
      <c r="AI70" s="42"/>
      <c r="AJ70" s="42"/>
      <c r="AK70" s="42"/>
      <c r="AL70" s="44"/>
      <c r="AM70" s="42"/>
    </row>
    <row r="71" spans="1:39" s="41" customFormat="1" x14ac:dyDescent="0.25">
      <c r="A71" s="42">
        <f>'WBS chi tiết'!A71</f>
      </c>
      <c r="B71" s="42" t="s">
        <v>973</v>
      </c>
      <c r="C71" s="42">
        <f>'WBS chi tiết'!F71</f>
      </c>
      <c r="D71" s="43">
        <f>'WBS chi tiết'!N71</f>
      </c>
      <c r="E71" s="43">
        <f>'WBS chi tiết'!O71</f>
      </c>
      <c r="F71" s="42"/>
      <c r="G71" s="42"/>
      <c r="H71" s="44"/>
      <c r="I71" s="42"/>
      <c r="J71" s="42"/>
      <c r="K71" s="42"/>
      <c r="L71" s="42"/>
      <c r="M71" s="42"/>
      <c r="N71" s="44"/>
      <c r="O71" s="42"/>
      <c r="P71" s="42"/>
      <c r="Q71" s="42"/>
      <c r="R71" s="42"/>
      <c r="S71" s="42"/>
      <c r="T71" s="44"/>
      <c r="U71" s="42"/>
      <c r="V71" s="42"/>
      <c r="W71" s="42"/>
      <c r="X71" s="42"/>
      <c r="Y71" s="42"/>
      <c r="Z71" s="44"/>
      <c r="AA71" s="42"/>
      <c r="AB71" s="42"/>
      <c r="AC71" s="42"/>
      <c r="AD71" s="42"/>
      <c r="AE71" s="42"/>
      <c r="AF71" s="44"/>
      <c r="AG71" s="42"/>
      <c r="AH71" s="42"/>
      <c r="AI71" s="42"/>
      <c r="AJ71" s="42"/>
      <c r="AK71" s="42"/>
      <c r="AL71" s="44"/>
      <c r="AM71" s="42"/>
    </row>
    <row r="72" spans="1:39" s="41" customFormat="1" x14ac:dyDescent="0.25">
      <c r="A72" s="42">
        <f>'WBS chi tiết'!A72</f>
      </c>
      <c r="B72" s="42" t="s">
        <v>974</v>
      </c>
      <c r="C72" s="42">
        <f>'WBS chi tiết'!F72</f>
      </c>
      <c r="D72" s="43">
        <f>'WBS chi tiết'!N72</f>
      </c>
      <c r="E72" s="43">
        <f>'WBS chi tiết'!O72</f>
      </c>
      <c r="F72" s="42"/>
      <c r="G72" s="42"/>
      <c r="H72" s="44"/>
      <c r="I72" s="42"/>
      <c r="J72" s="42"/>
      <c r="K72" s="42"/>
      <c r="L72" s="42"/>
      <c r="M72" s="42"/>
      <c r="N72" s="44"/>
      <c r="O72" s="42"/>
      <c r="P72" s="42"/>
      <c r="Q72" s="42"/>
      <c r="R72" s="42"/>
      <c r="S72" s="42"/>
      <c r="T72" s="44"/>
      <c r="U72" s="42"/>
      <c r="V72" s="42"/>
      <c r="W72" s="42"/>
      <c r="X72" s="42"/>
      <c r="Y72" s="42"/>
      <c r="Z72" s="44"/>
      <c r="AA72" s="42"/>
      <c r="AB72" s="42"/>
      <c r="AC72" s="42"/>
      <c r="AD72" s="42"/>
      <c r="AE72" s="42"/>
      <c r="AF72" s="44"/>
      <c r="AG72" s="42"/>
      <c r="AH72" s="42"/>
      <c r="AI72" s="42"/>
      <c r="AJ72" s="42"/>
      <c r="AK72" s="42"/>
      <c r="AL72" s="44"/>
      <c r="AM72" s="42"/>
    </row>
    <row r="73" spans="1:39" s="41" customFormat="1" x14ac:dyDescent="0.25">
      <c r="A73" s="42">
        <f>'WBS chi tiết'!A73</f>
      </c>
      <c r="B73" s="42" t="s">
        <v>975</v>
      </c>
      <c r="C73" s="42">
        <f>'WBS chi tiết'!F73</f>
      </c>
      <c r="D73" s="43">
        <f>'WBS chi tiết'!N73</f>
      </c>
      <c r="E73" s="43">
        <f>'WBS chi tiết'!O73</f>
      </c>
      <c r="F73" s="42"/>
      <c r="G73" s="42"/>
      <c r="H73" s="44"/>
      <c r="I73" s="42"/>
      <c r="J73" s="42"/>
      <c r="K73" s="42"/>
      <c r="L73" s="42"/>
      <c r="M73" s="42"/>
      <c r="N73" s="44"/>
      <c r="O73" s="42"/>
      <c r="P73" s="42"/>
      <c r="Q73" s="42"/>
      <c r="R73" s="42"/>
      <c r="S73" s="42"/>
      <c r="T73" s="44"/>
      <c r="U73" s="42"/>
      <c r="V73" s="42"/>
      <c r="W73" s="42"/>
      <c r="X73" s="42"/>
      <c r="Y73" s="42"/>
      <c r="Z73" s="44"/>
      <c r="AA73" s="42"/>
      <c r="AB73" s="42"/>
      <c r="AC73" s="42"/>
      <c r="AD73" s="42"/>
      <c r="AE73" s="42"/>
      <c r="AF73" s="44"/>
      <c r="AG73" s="42"/>
      <c r="AH73" s="42"/>
      <c r="AI73" s="42"/>
      <c r="AJ73" s="42"/>
      <c r="AK73" s="42"/>
      <c r="AL73" s="44"/>
      <c r="AM73" s="42"/>
    </row>
    <row r="74" spans="1:39" s="41" customFormat="1" x14ac:dyDescent="0.25">
      <c r="A74" s="42">
        <f>'WBS chi tiết'!A74</f>
      </c>
      <c r="B74" s="42" t="s">
        <v>976</v>
      </c>
      <c r="C74" s="42">
        <f>'WBS chi tiết'!F74</f>
      </c>
      <c r="D74" s="43">
        <f>'WBS chi tiết'!N74</f>
      </c>
      <c r="E74" s="43">
        <f>'WBS chi tiết'!O74</f>
      </c>
      <c r="F74" s="42"/>
      <c r="G74" s="42"/>
      <c r="H74" s="44"/>
      <c r="I74" s="42"/>
      <c r="J74" s="42"/>
      <c r="K74" s="42"/>
      <c r="L74" s="42"/>
      <c r="M74" s="42"/>
      <c r="N74" s="44"/>
      <c r="O74" s="42"/>
      <c r="P74" s="42"/>
      <c r="Q74" s="42"/>
      <c r="R74" s="42"/>
      <c r="S74" s="42"/>
      <c r="T74" s="44"/>
      <c r="U74" s="42"/>
      <c r="V74" s="42"/>
      <c r="W74" s="42"/>
      <c r="X74" s="42"/>
      <c r="Y74" s="42"/>
      <c r="Z74" s="44"/>
      <c r="AA74" s="42"/>
      <c r="AB74" s="42"/>
      <c r="AC74" s="42"/>
      <c r="AD74" s="42"/>
      <c r="AE74" s="42"/>
      <c r="AF74" s="44"/>
      <c r="AG74" s="42"/>
      <c r="AH74" s="42"/>
      <c r="AI74" s="42"/>
      <c r="AJ74" s="42"/>
      <c r="AK74" s="42"/>
      <c r="AL74" s="44"/>
      <c r="AM74" s="42"/>
    </row>
    <row r="75" spans="1:39" s="41" customFormat="1" x14ac:dyDescent="0.25">
      <c r="A75" s="42">
        <f>'WBS chi tiết'!A75</f>
      </c>
      <c r="B75" s="42" t="s">
        <v>977</v>
      </c>
      <c r="C75" s="42">
        <f>'WBS chi tiết'!F75</f>
      </c>
      <c r="D75" s="43">
        <f>'WBS chi tiết'!N75</f>
      </c>
      <c r="E75" s="43">
        <f>'WBS chi tiết'!O75</f>
      </c>
      <c r="F75" s="42"/>
      <c r="G75" s="42"/>
      <c r="H75" s="44"/>
      <c r="I75" s="42"/>
      <c r="J75" s="42"/>
      <c r="K75" s="42"/>
      <c r="L75" s="42"/>
      <c r="M75" s="42"/>
      <c r="N75" s="44"/>
      <c r="O75" s="42"/>
      <c r="P75" s="42"/>
      <c r="Q75" s="42"/>
      <c r="R75" s="42"/>
      <c r="S75" s="42"/>
      <c r="T75" s="44"/>
      <c r="U75" s="42"/>
      <c r="V75" s="42"/>
      <c r="W75" s="42"/>
      <c r="X75" s="42"/>
      <c r="Y75" s="42"/>
      <c r="Z75" s="44"/>
      <c r="AA75" s="42"/>
      <c r="AB75" s="42"/>
      <c r="AC75" s="42"/>
      <c r="AD75" s="42"/>
      <c r="AE75" s="42"/>
      <c r="AF75" s="44"/>
      <c r="AG75" s="42"/>
      <c r="AH75" s="42"/>
      <c r="AI75" s="42"/>
      <c r="AJ75" s="42"/>
      <c r="AK75" s="42"/>
      <c r="AL75" s="44"/>
      <c r="AM75" s="42"/>
    </row>
    <row r="76" spans="1:39" s="41" customFormat="1" x14ac:dyDescent="0.25">
      <c r="A76" s="42">
        <f>'WBS chi tiết'!A76</f>
      </c>
      <c r="B76" s="42" t="s">
        <v>978</v>
      </c>
      <c r="C76" s="42">
        <f>'WBS chi tiết'!F76</f>
      </c>
      <c r="D76" s="43">
        <f>'WBS chi tiết'!N76</f>
      </c>
      <c r="E76" s="43">
        <f>'WBS chi tiết'!O76</f>
      </c>
      <c r="F76" s="42"/>
      <c r="G76" s="42"/>
      <c r="H76" s="44"/>
      <c r="I76" s="42"/>
      <c r="J76" s="42"/>
      <c r="K76" s="42"/>
      <c r="L76" s="42"/>
      <c r="M76" s="42"/>
      <c r="N76" s="44"/>
      <c r="O76" s="42"/>
      <c r="P76" s="42"/>
      <c r="Q76" s="42"/>
      <c r="R76" s="42"/>
      <c r="S76" s="42"/>
      <c r="T76" s="44"/>
      <c r="U76" s="42"/>
      <c r="V76" s="42"/>
      <c r="W76" s="42"/>
      <c r="X76" s="42"/>
      <c r="Y76" s="42"/>
      <c r="Z76" s="44"/>
      <c r="AA76" s="42"/>
      <c r="AB76" s="42"/>
      <c r="AC76" s="42"/>
      <c r="AD76" s="42"/>
      <c r="AE76" s="42"/>
      <c r="AF76" s="44"/>
      <c r="AG76" s="42"/>
      <c r="AH76" s="42"/>
      <c r="AI76" s="42"/>
      <c r="AJ76" s="42"/>
      <c r="AK76" s="42"/>
      <c r="AL76" s="44"/>
      <c r="AM76" s="42"/>
    </row>
    <row r="77" spans="1:39" s="41" customFormat="1" x14ac:dyDescent="0.25">
      <c r="A77" s="42">
        <f>'WBS chi tiết'!A77</f>
      </c>
      <c r="B77" s="42" t="s">
        <v>979</v>
      </c>
      <c r="C77" s="42">
        <f>'WBS chi tiết'!F77</f>
      </c>
      <c r="D77" s="43">
        <f>'WBS chi tiết'!N77</f>
      </c>
      <c r="E77" s="43">
        <f>'WBS chi tiết'!O77</f>
      </c>
      <c r="F77" s="42"/>
      <c r="G77" s="42"/>
      <c r="H77" s="44"/>
      <c r="I77" s="42"/>
      <c r="J77" s="42"/>
      <c r="K77" s="42"/>
      <c r="L77" s="42"/>
      <c r="M77" s="42"/>
      <c r="N77" s="44"/>
      <c r="O77" s="42"/>
      <c r="P77" s="42"/>
      <c r="Q77" s="42"/>
      <c r="R77" s="42"/>
      <c r="S77" s="42"/>
      <c r="T77" s="44"/>
      <c r="U77" s="42"/>
      <c r="V77" s="42"/>
      <c r="W77" s="42"/>
      <c r="X77" s="42"/>
      <c r="Y77" s="42"/>
      <c r="Z77" s="44"/>
      <c r="AA77" s="42"/>
      <c r="AB77" s="42"/>
      <c r="AC77" s="42"/>
      <c r="AD77" s="42"/>
      <c r="AE77" s="42"/>
      <c r="AF77" s="44"/>
      <c r="AG77" s="42"/>
      <c r="AH77" s="42"/>
      <c r="AI77" s="42"/>
      <c r="AJ77" s="42"/>
      <c r="AK77" s="42"/>
      <c r="AL77" s="44"/>
      <c r="AM77" s="42"/>
    </row>
    <row r="78" spans="1:39" s="41" customFormat="1" x14ac:dyDescent="0.25">
      <c r="A78" s="42">
        <f>'WBS chi tiết'!A78</f>
      </c>
      <c r="B78" s="42" t="s">
        <v>980</v>
      </c>
      <c r="C78" s="42">
        <f>'WBS chi tiết'!F78</f>
      </c>
      <c r="D78" s="43">
        <f>'WBS chi tiết'!N78</f>
      </c>
      <c r="E78" s="43">
        <f>'WBS chi tiết'!O78</f>
      </c>
      <c r="F78" s="42"/>
      <c r="G78" s="42"/>
      <c r="H78" s="44"/>
      <c r="I78" s="42"/>
      <c r="J78" s="42"/>
      <c r="K78" s="42"/>
      <c r="L78" s="42"/>
      <c r="M78" s="42"/>
      <c r="N78" s="44"/>
      <c r="O78" s="42"/>
      <c r="P78" s="42"/>
      <c r="Q78" s="42"/>
      <c r="R78" s="42"/>
      <c r="S78" s="42"/>
      <c r="T78" s="44"/>
      <c r="U78" s="42"/>
      <c r="V78" s="42"/>
      <c r="W78" s="42"/>
      <c r="X78" s="42"/>
      <c r="Y78" s="42"/>
      <c r="Z78" s="44"/>
      <c r="AA78" s="42"/>
      <c r="AB78" s="42"/>
      <c r="AC78" s="42"/>
      <c r="AD78" s="42"/>
      <c r="AE78" s="42"/>
      <c r="AF78" s="44"/>
      <c r="AG78" s="42"/>
      <c r="AH78" s="42"/>
      <c r="AI78" s="42"/>
      <c r="AJ78" s="42"/>
      <c r="AK78" s="42"/>
      <c r="AL78" s="44"/>
      <c r="AM78" s="42"/>
    </row>
    <row r="79" spans="1:39" s="41" customFormat="1" x14ac:dyDescent="0.25">
      <c r="A79" s="42">
        <f>'WBS chi tiết'!A79</f>
      </c>
      <c r="B79" s="42" t="s">
        <v>981</v>
      </c>
      <c r="C79" s="42">
        <f>'WBS chi tiết'!F79</f>
      </c>
      <c r="D79" s="43">
        <f>'WBS chi tiết'!N79</f>
      </c>
      <c r="E79" s="43">
        <f>'WBS chi tiết'!O79</f>
      </c>
      <c r="F79" s="42"/>
      <c r="G79" s="42"/>
      <c r="H79" s="44"/>
      <c r="I79" s="42"/>
      <c r="J79" s="42"/>
      <c r="K79" s="42"/>
      <c r="L79" s="42"/>
      <c r="M79" s="42"/>
      <c r="N79" s="44"/>
      <c r="O79" s="42"/>
      <c r="P79" s="42"/>
      <c r="Q79" s="42"/>
      <c r="R79" s="42"/>
      <c r="S79" s="42"/>
      <c r="T79" s="44"/>
      <c r="U79" s="42"/>
      <c r="V79" s="42"/>
      <c r="W79" s="42"/>
      <c r="X79" s="42"/>
      <c r="Y79" s="42"/>
      <c r="Z79" s="44"/>
      <c r="AA79" s="42"/>
      <c r="AB79" s="42"/>
      <c r="AC79" s="42"/>
      <c r="AD79" s="42"/>
      <c r="AE79" s="42"/>
      <c r="AF79" s="44"/>
      <c r="AG79" s="42"/>
      <c r="AH79" s="42"/>
      <c r="AI79" s="42"/>
      <c r="AJ79" s="42"/>
      <c r="AK79" s="42"/>
      <c r="AL79" s="44"/>
      <c r="AM79" s="42"/>
    </row>
    <row r="80" spans="1:39" s="41" customFormat="1" x14ac:dyDescent="0.25">
      <c r="A80" s="42">
        <f>'WBS chi tiết'!A80</f>
      </c>
      <c r="B80" s="42" t="s">
        <v>982</v>
      </c>
      <c r="C80" s="42">
        <f>'WBS chi tiết'!F80</f>
      </c>
      <c r="D80" s="43">
        <f>'WBS chi tiết'!N80</f>
      </c>
      <c r="E80" s="43">
        <f>'WBS chi tiết'!O80</f>
      </c>
      <c r="F80" s="42"/>
      <c r="G80" s="42"/>
      <c r="H80" s="44"/>
      <c r="I80" s="42"/>
      <c r="J80" s="42"/>
      <c r="K80" s="42"/>
      <c r="L80" s="42"/>
      <c r="M80" s="42"/>
      <c r="N80" s="44"/>
      <c r="O80" s="42"/>
      <c r="P80" s="42"/>
      <c r="Q80" s="42"/>
      <c r="R80" s="42"/>
      <c r="S80" s="42"/>
      <c r="T80" s="44"/>
      <c r="U80" s="42"/>
      <c r="V80" s="42"/>
      <c r="W80" s="42"/>
      <c r="X80" s="42"/>
      <c r="Y80" s="42"/>
      <c r="Z80" s="44"/>
      <c r="AA80" s="42"/>
      <c r="AB80" s="42"/>
      <c r="AC80" s="42"/>
      <c r="AD80" s="42"/>
      <c r="AE80" s="42"/>
      <c r="AF80" s="44"/>
      <c r="AG80" s="42"/>
      <c r="AH80" s="42"/>
      <c r="AI80" s="42"/>
      <c r="AJ80" s="42"/>
      <c r="AK80" s="42"/>
      <c r="AL80" s="44"/>
      <c r="AM80" s="42"/>
    </row>
    <row r="81" spans="1:39" s="41" customFormat="1" x14ac:dyDescent="0.25">
      <c r="A81" s="42">
        <f>'WBS chi tiết'!A81</f>
      </c>
      <c r="B81" s="42" t="s">
        <v>983</v>
      </c>
      <c r="C81" s="42">
        <f>'WBS chi tiết'!F81</f>
      </c>
      <c r="D81" s="43">
        <f>'WBS chi tiết'!N81</f>
      </c>
      <c r="E81" s="43">
        <f>'WBS chi tiết'!O81</f>
      </c>
      <c r="F81" s="42"/>
      <c r="G81" s="42"/>
      <c r="H81" s="44"/>
      <c r="I81" s="42"/>
      <c r="J81" s="42"/>
      <c r="K81" s="42"/>
      <c r="L81" s="42"/>
      <c r="M81" s="42"/>
      <c r="N81" s="44"/>
      <c r="O81" s="42"/>
      <c r="P81" s="42"/>
      <c r="Q81" s="42"/>
      <c r="R81" s="42"/>
      <c r="S81" s="42"/>
      <c r="T81" s="44"/>
      <c r="U81" s="42"/>
      <c r="V81" s="42"/>
      <c r="W81" s="42"/>
      <c r="X81" s="42"/>
      <c r="Y81" s="42"/>
      <c r="Z81" s="44"/>
      <c r="AA81" s="42"/>
      <c r="AB81" s="42"/>
      <c r="AC81" s="42"/>
      <c r="AD81" s="42"/>
      <c r="AE81" s="42"/>
      <c r="AF81" s="44"/>
      <c r="AG81" s="42"/>
      <c r="AH81" s="42"/>
      <c r="AI81" s="42"/>
      <c r="AJ81" s="42"/>
      <c r="AK81" s="42"/>
      <c r="AL81" s="44"/>
      <c r="AM81" s="42"/>
    </row>
    <row r="82" spans="1:39" s="41" customFormat="1" x14ac:dyDescent="0.25">
      <c r="A82" s="42">
        <f>'WBS chi tiết'!A82</f>
      </c>
      <c r="B82" s="42" t="s">
        <v>984</v>
      </c>
      <c r="C82" s="42">
        <f>'WBS chi tiết'!F82</f>
      </c>
      <c r="D82" s="43">
        <f>'WBS chi tiết'!N82</f>
      </c>
      <c r="E82" s="43">
        <f>'WBS chi tiết'!O82</f>
      </c>
      <c r="F82" s="42"/>
      <c r="G82" s="42"/>
      <c r="H82" s="44"/>
      <c r="I82" s="42"/>
      <c r="J82" s="42"/>
      <c r="K82" s="42"/>
      <c r="L82" s="42"/>
      <c r="M82" s="42"/>
      <c r="N82" s="44"/>
      <c r="O82" s="42"/>
      <c r="P82" s="42"/>
      <c r="Q82" s="42"/>
      <c r="R82" s="42"/>
      <c r="S82" s="42"/>
      <c r="T82" s="44"/>
      <c r="U82" s="42"/>
      <c r="V82" s="42"/>
      <c r="W82" s="42"/>
      <c r="X82" s="42"/>
      <c r="Y82" s="42"/>
      <c r="Z82" s="44"/>
      <c r="AA82" s="42"/>
      <c r="AB82" s="42"/>
      <c r="AC82" s="42"/>
      <c r="AD82" s="42"/>
      <c r="AE82" s="42"/>
      <c r="AF82" s="44"/>
      <c r="AG82" s="42"/>
      <c r="AH82" s="42"/>
      <c r="AI82" s="42"/>
      <c r="AJ82" s="42"/>
      <c r="AK82" s="42"/>
      <c r="AL82" s="44"/>
      <c r="AM82" s="42"/>
    </row>
    <row r="83" spans="1:39" s="41" customFormat="1" x14ac:dyDescent="0.25">
      <c r="A83" s="42">
        <f>'WBS chi tiết'!A83</f>
      </c>
      <c r="B83" s="42" t="s">
        <v>985</v>
      </c>
      <c r="C83" s="42">
        <f>'WBS chi tiết'!F83</f>
      </c>
      <c r="D83" s="43">
        <f>'WBS chi tiết'!N83</f>
      </c>
      <c r="E83" s="43">
        <f>'WBS chi tiết'!O83</f>
      </c>
      <c r="F83" s="42"/>
      <c r="G83" s="42"/>
      <c r="H83" s="44"/>
      <c r="I83" s="42"/>
      <c r="J83" s="42"/>
      <c r="K83" s="42"/>
      <c r="L83" s="42"/>
      <c r="M83" s="42"/>
      <c r="N83" s="44"/>
      <c r="O83" s="42"/>
      <c r="P83" s="42"/>
      <c r="Q83" s="42"/>
      <c r="R83" s="42"/>
      <c r="S83" s="42"/>
      <c r="T83" s="44"/>
      <c r="U83" s="42"/>
      <c r="V83" s="42"/>
      <c r="W83" s="42"/>
      <c r="X83" s="42"/>
      <c r="Y83" s="42"/>
      <c r="Z83" s="44"/>
      <c r="AA83" s="42"/>
      <c r="AB83" s="42"/>
      <c r="AC83" s="42"/>
      <c r="AD83" s="42"/>
      <c r="AE83" s="42"/>
      <c r="AF83" s="44"/>
      <c r="AG83" s="42"/>
      <c r="AH83" s="42"/>
      <c r="AI83" s="42"/>
      <c r="AJ83" s="42"/>
      <c r="AK83" s="42"/>
      <c r="AL83" s="44"/>
      <c r="AM83" s="42"/>
    </row>
    <row r="84" spans="1:39" s="41" customFormat="1" x14ac:dyDescent="0.25">
      <c r="A84" s="42">
        <f>'WBS chi tiết'!A84</f>
      </c>
      <c r="B84" s="42" t="s">
        <v>986</v>
      </c>
      <c r="C84" s="42">
        <f>'WBS chi tiết'!F84</f>
      </c>
      <c r="D84" s="43">
        <f>'WBS chi tiết'!N84</f>
      </c>
      <c r="E84" s="43">
        <f>'WBS chi tiết'!O84</f>
      </c>
      <c r="F84" s="42"/>
      <c r="G84" s="42"/>
      <c r="H84" s="44"/>
      <c r="I84" s="42"/>
      <c r="J84" s="42"/>
      <c r="K84" s="42"/>
      <c r="L84" s="42"/>
      <c r="M84" s="42"/>
      <c r="N84" s="44"/>
      <c r="O84" s="42"/>
      <c r="P84" s="42"/>
      <c r="Q84" s="42"/>
      <c r="R84" s="42"/>
      <c r="S84" s="42"/>
      <c r="T84" s="44"/>
      <c r="U84" s="42"/>
      <c r="V84" s="42"/>
      <c r="W84" s="42"/>
      <c r="X84" s="42"/>
      <c r="Y84" s="42"/>
      <c r="Z84" s="44"/>
      <c r="AA84" s="42"/>
      <c r="AB84" s="42"/>
      <c r="AC84" s="42"/>
      <c r="AD84" s="42"/>
      <c r="AE84" s="42"/>
      <c r="AF84" s="44"/>
      <c r="AG84" s="42"/>
      <c r="AH84" s="42"/>
      <c r="AI84" s="42"/>
      <c r="AJ84" s="42"/>
      <c r="AK84" s="42"/>
      <c r="AL84" s="44"/>
      <c r="AM84" s="42"/>
    </row>
    <row r="85" spans="1:39" s="41" customFormat="1" x14ac:dyDescent="0.25">
      <c r="A85" s="42">
        <f>'WBS chi tiết'!A85</f>
      </c>
      <c r="B85" s="42" t="s">
        <v>987</v>
      </c>
      <c r="C85" s="42">
        <f>'WBS chi tiết'!F85</f>
      </c>
      <c r="D85" s="43">
        <f>'WBS chi tiết'!N85</f>
      </c>
      <c r="E85" s="43">
        <f>'WBS chi tiết'!O85</f>
      </c>
      <c r="F85" s="42"/>
      <c r="G85" s="42"/>
      <c r="H85" s="44"/>
      <c r="I85" s="42"/>
      <c r="J85" s="42"/>
      <c r="K85" s="42"/>
      <c r="L85" s="42"/>
      <c r="M85" s="42"/>
      <c r="N85" s="44"/>
      <c r="O85" s="42"/>
      <c r="P85" s="42"/>
      <c r="Q85" s="42"/>
      <c r="R85" s="42"/>
      <c r="S85" s="42"/>
      <c r="T85" s="44"/>
      <c r="U85" s="42"/>
      <c r="V85" s="42"/>
      <c r="W85" s="42"/>
      <c r="X85" s="42"/>
      <c r="Y85" s="42"/>
      <c r="Z85" s="44"/>
      <c r="AA85" s="42"/>
      <c r="AB85" s="42"/>
      <c r="AC85" s="42"/>
      <c r="AD85" s="42"/>
      <c r="AE85" s="42"/>
      <c r="AF85" s="44"/>
      <c r="AG85" s="42"/>
      <c r="AH85" s="42"/>
      <c r="AI85" s="42"/>
      <c r="AJ85" s="42"/>
      <c r="AK85" s="42"/>
      <c r="AL85" s="44"/>
      <c r="AM85" s="42"/>
    </row>
    <row r="86" spans="1:39" s="41" customFormat="1" x14ac:dyDescent="0.25">
      <c r="A86" s="42">
        <f>'WBS chi tiết'!A86</f>
      </c>
      <c r="B86" s="42" t="s">
        <v>988</v>
      </c>
      <c r="C86" s="42">
        <f>'WBS chi tiết'!F86</f>
      </c>
      <c r="D86" s="43">
        <f>'WBS chi tiết'!N86</f>
      </c>
      <c r="E86" s="43">
        <f>'WBS chi tiết'!O86</f>
      </c>
      <c r="F86" s="42"/>
      <c r="G86" s="42"/>
      <c r="H86" s="44"/>
      <c r="I86" s="42"/>
      <c r="J86" s="42"/>
      <c r="K86" s="42"/>
      <c r="L86" s="42"/>
      <c r="M86" s="42"/>
      <c r="N86" s="44"/>
      <c r="O86" s="42"/>
      <c r="P86" s="42"/>
      <c r="Q86" s="42"/>
      <c r="R86" s="42"/>
      <c r="S86" s="42"/>
      <c r="T86" s="44"/>
      <c r="U86" s="42"/>
      <c r="V86" s="42"/>
      <c r="W86" s="42"/>
      <c r="X86" s="42"/>
      <c r="Y86" s="42"/>
      <c r="Z86" s="44"/>
      <c r="AA86" s="42"/>
      <c r="AB86" s="42"/>
      <c r="AC86" s="42"/>
      <c r="AD86" s="42"/>
      <c r="AE86" s="42"/>
      <c r="AF86" s="44"/>
      <c r="AG86" s="42"/>
      <c r="AH86" s="42"/>
      <c r="AI86" s="42"/>
      <c r="AJ86" s="42"/>
      <c r="AK86" s="42"/>
      <c r="AL86" s="44"/>
      <c r="AM86" s="42"/>
    </row>
    <row r="87" spans="1:39" s="41" customFormat="1" x14ac:dyDescent="0.25">
      <c r="A87" s="42">
        <f>'WBS chi tiết'!A87</f>
      </c>
      <c r="B87" s="42" t="s">
        <v>989</v>
      </c>
      <c r="C87" s="42">
        <f>'WBS chi tiết'!F87</f>
      </c>
      <c r="D87" s="43">
        <f>'WBS chi tiết'!N87</f>
      </c>
      <c r="E87" s="43">
        <f>'WBS chi tiết'!O87</f>
      </c>
      <c r="F87" s="42"/>
      <c r="G87" s="42"/>
      <c r="H87" s="44"/>
      <c r="I87" s="42"/>
      <c r="J87" s="42"/>
      <c r="K87" s="42"/>
      <c r="L87" s="42"/>
      <c r="M87" s="42"/>
      <c r="N87" s="44"/>
      <c r="O87" s="42"/>
      <c r="P87" s="42"/>
      <c r="Q87" s="42"/>
      <c r="R87" s="42"/>
      <c r="S87" s="42"/>
      <c r="T87" s="44"/>
      <c r="U87" s="42"/>
      <c r="V87" s="42"/>
      <c r="W87" s="42"/>
      <c r="X87" s="42"/>
      <c r="Y87" s="42"/>
      <c r="Z87" s="44"/>
      <c r="AA87" s="42"/>
      <c r="AB87" s="42"/>
      <c r="AC87" s="42"/>
      <c r="AD87" s="42"/>
      <c r="AE87" s="42"/>
      <c r="AF87" s="44"/>
      <c r="AG87" s="42"/>
      <c r="AH87" s="42"/>
      <c r="AI87" s="42"/>
      <c r="AJ87" s="42"/>
      <c r="AK87" s="42"/>
      <c r="AL87" s="44"/>
      <c r="AM87" s="42"/>
    </row>
    <row r="88" spans="1:39" s="41" customFormat="1" x14ac:dyDescent="0.25">
      <c r="A88" s="42">
        <f>'WBS chi tiết'!A88</f>
      </c>
      <c r="B88" s="42" t="s">
        <v>990</v>
      </c>
      <c r="C88" s="42">
        <f>'WBS chi tiết'!F88</f>
      </c>
      <c r="D88" s="43">
        <f>'WBS chi tiết'!N88</f>
      </c>
      <c r="E88" s="43">
        <f>'WBS chi tiết'!O88</f>
      </c>
      <c r="F88" s="42"/>
      <c r="G88" s="42"/>
      <c r="H88" s="44"/>
      <c r="I88" s="42"/>
      <c r="J88" s="42"/>
      <c r="K88" s="42"/>
      <c r="L88" s="42"/>
      <c r="M88" s="42"/>
      <c r="N88" s="44"/>
      <c r="O88" s="42"/>
      <c r="P88" s="42"/>
      <c r="Q88" s="42"/>
      <c r="R88" s="42"/>
      <c r="S88" s="42"/>
      <c r="T88" s="44"/>
      <c r="U88" s="42"/>
      <c r="V88" s="42"/>
      <c r="W88" s="42"/>
      <c r="X88" s="42"/>
      <c r="Y88" s="42"/>
      <c r="Z88" s="44"/>
      <c r="AA88" s="42"/>
      <c r="AB88" s="42"/>
      <c r="AC88" s="42"/>
      <c r="AD88" s="42"/>
      <c r="AE88" s="42"/>
      <c r="AF88" s="44"/>
      <c r="AG88" s="42"/>
      <c r="AH88" s="42"/>
      <c r="AI88" s="42"/>
      <c r="AJ88" s="42"/>
      <c r="AK88" s="42"/>
      <c r="AL88" s="44"/>
      <c r="AM88" s="42"/>
    </row>
    <row r="89" spans="1:39" s="41" customFormat="1" x14ac:dyDescent="0.25">
      <c r="A89" s="42">
        <f>'WBS chi tiết'!A89</f>
      </c>
      <c r="B89" s="42" t="s">
        <v>991</v>
      </c>
      <c r="C89" s="42">
        <f>'WBS chi tiết'!F89</f>
      </c>
      <c r="D89" s="43">
        <f>'WBS chi tiết'!N89</f>
      </c>
      <c r="E89" s="43">
        <f>'WBS chi tiết'!O89</f>
      </c>
      <c r="F89" s="42"/>
      <c r="G89" s="42"/>
      <c r="H89" s="44"/>
      <c r="I89" s="42"/>
      <c r="J89" s="42"/>
      <c r="K89" s="42"/>
      <c r="L89" s="42"/>
      <c r="M89" s="42"/>
      <c r="N89" s="44"/>
      <c r="O89" s="42"/>
      <c r="P89" s="42"/>
      <c r="Q89" s="42"/>
      <c r="R89" s="42"/>
      <c r="S89" s="42"/>
      <c r="T89" s="44"/>
      <c r="U89" s="42"/>
      <c r="V89" s="42"/>
      <c r="W89" s="42"/>
      <c r="X89" s="42"/>
      <c r="Y89" s="42"/>
      <c r="Z89" s="44"/>
      <c r="AA89" s="42"/>
      <c r="AB89" s="42"/>
      <c r="AC89" s="42"/>
      <c r="AD89" s="42"/>
      <c r="AE89" s="42"/>
      <c r="AF89" s="44"/>
      <c r="AG89" s="42"/>
      <c r="AH89" s="42"/>
      <c r="AI89" s="42"/>
      <c r="AJ89" s="42"/>
      <c r="AK89" s="42"/>
      <c r="AL89" s="44"/>
      <c r="AM89" s="42"/>
    </row>
    <row r="90" spans="1:39" s="41" customFormat="1" x14ac:dyDescent="0.25">
      <c r="A90" s="42">
        <f>'WBS chi tiết'!A90</f>
      </c>
      <c r="B90" s="42" t="s">
        <v>992</v>
      </c>
      <c r="C90" s="42">
        <f>'WBS chi tiết'!F90</f>
      </c>
      <c r="D90" s="43">
        <f>'WBS chi tiết'!N90</f>
      </c>
      <c r="E90" s="43">
        <f>'WBS chi tiết'!O90</f>
      </c>
      <c r="F90" s="42"/>
      <c r="G90" s="42"/>
      <c r="H90" s="44"/>
      <c r="I90" s="42"/>
      <c r="J90" s="42"/>
      <c r="K90" s="42"/>
      <c r="L90" s="42"/>
      <c r="M90" s="42"/>
      <c r="N90" s="44"/>
      <c r="O90" s="42"/>
      <c r="P90" s="42"/>
      <c r="Q90" s="42"/>
      <c r="R90" s="42"/>
      <c r="S90" s="42"/>
      <c r="T90" s="44"/>
      <c r="U90" s="42"/>
      <c r="V90" s="42"/>
      <c r="W90" s="42"/>
      <c r="X90" s="42"/>
      <c r="Y90" s="42"/>
      <c r="Z90" s="44"/>
      <c r="AA90" s="42"/>
      <c r="AB90" s="42"/>
      <c r="AC90" s="42"/>
      <c r="AD90" s="42"/>
      <c r="AE90" s="42"/>
      <c r="AF90" s="44"/>
      <c r="AG90" s="42"/>
      <c r="AH90" s="42"/>
      <c r="AI90" s="42"/>
      <c r="AJ90" s="42"/>
      <c r="AK90" s="42"/>
      <c r="AL90" s="44"/>
      <c r="AM90" s="42"/>
    </row>
    <row r="91" spans="1:39" s="41" customFormat="1" x14ac:dyDescent="0.25">
      <c r="A91" s="42">
        <f>'WBS chi tiết'!A91</f>
      </c>
      <c r="B91" s="42" t="s">
        <v>737</v>
      </c>
      <c r="C91" s="42">
        <f>'WBS chi tiết'!F91</f>
      </c>
      <c r="D91" s="43">
        <f>'WBS chi tiết'!N91</f>
      </c>
      <c r="E91" s="43">
        <f>'WBS chi tiết'!O91</f>
      </c>
      <c r="F91" s="42"/>
      <c r="G91" s="42"/>
      <c r="H91" s="44"/>
      <c r="I91" s="42"/>
      <c r="J91" s="42"/>
      <c r="K91" s="42"/>
      <c r="L91" s="42"/>
      <c r="M91" s="42"/>
      <c r="N91" s="44"/>
      <c r="O91" s="42"/>
      <c r="P91" s="42"/>
      <c r="Q91" s="42"/>
      <c r="R91" s="42"/>
      <c r="S91" s="42"/>
      <c r="T91" s="44"/>
      <c r="U91" s="42"/>
      <c r="V91" s="42"/>
      <c r="W91" s="42"/>
      <c r="X91" s="42"/>
      <c r="Y91" s="42"/>
      <c r="Z91" s="44"/>
      <c r="AA91" s="42"/>
      <c r="AB91" s="42"/>
      <c r="AC91" s="42"/>
      <c r="AD91" s="42"/>
      <c r="AE91" s="42"/>
      <c r="AF91" s="44"/>
      <c r="AG91" s="42"/>
      <c r="AH91" s="42"/>
      <c r="AI91" s="42"/>
      <c r="AJ91" s="42"/>
      <c r="AK91" s="42"/>
      <c r="AL91" s="44"/>
      <c r="AM91" s="42"/>
    </row>
    <row r="92" spans="1:39" s="41" customFormat="1" x14ac:dyDescent="0.25">
      <c r="A92" s="42">
        <f>'WBS chi tiết'!A92</f>
      </c>
      <c r="B92" s="42" t="s">
        <v>993</v>
      </c>
      <c r="C92" s="42">
        <f>'WBS chi tiết'!F92</f>
      </c>
      <c r="D92" s="43">
        <f>'WBS chi tiết'!N92</f>
      </c>
      <c r="E92" s="43">
        <f>'WBS chi tiết'!O92</f>
      </c>
      <c r="F92" s="42"/>
      <c r="G92" s="42"/>
      <c r="H92" s="44"/>
      <c r="I92" s="42"/>
      <c r="J92" s="42"/>
      <c r="K92" s="42"/>
      <c r="L92" s="42"/>
      <c r="M92" s="42"/>
      <c r="N92" s="44"/>
      <c r="O92" s="42"/>
      <c r="P92" s="42"/>
      <c r="Q92" s="42"/>
      <c r="R92" s="42"/>
      <c r="S92" s="42"/>
      <c r="T92" s="44"/>
      <c r="U92" s="42"/>
      <c r="V92" s="42"/>
      <c r="W92" s="42"/>
      <c r="X92" s="42"/>
      <c r="Y92" s="42"/>
      <c r="Z92" s="44"/>
      <c r="AA92" s="42"/>
      <c r="AB92" s="42"/>
      <c r="AC92" s="42"/>
      <c r="AD92" s="42"/>
      <c r="AE92" s="42"/>
      <c r="AF92" s="44"/>
      <c r="AG92" s="42"/>
      <c r="AH92" s="42"/>
      <c r="AI92" s="42"/>
      <c r="AJ92" s="42"/>
      <c r="AK92" s="42"/>
      <c r="AL92" s="44"/>
      <c r="AM92" s="42"/>
    </row>
    <row r="93" spans="1:39" s="41" customFormat="1" x14ac:dyDescent="0.25">
      <c r="A93" s="42">
        <f>'WBS chi tiết'!A93</f>
      </c>
      <c r="B93" s="42" t="s">
        <v>994</v>
      </c>
      <c r="C93" s="42">
        <f>'WBS chi tiết'!F93</f>
      </c>
      <c r="D93" s="43">
        <f>'WBS chi tiết'!N93</f>
      </c>
      <c r="E93" s="43">
        <f>'WBS chi tiết'!O93</f>
      </c>
      <c r="F93" s="42"/>
      <c r="G93" s="42"/>
      <c r="H93" s="44"/>
      <c r="I93" s="42"/>
      <c r="J93" s="42"/>
      <c r="K93" s="42"/>
      <c r="L93" s="42"/>
      <c r="M93" s="42"/>
      <c r="N93" s="44"/>
      <c r="O93" s="42"/>
      <c r="P93" s="42"/>
      <c r="Q93" s="42"/>
      <c r="R93" s="42"/>
      <c r="S93" s="42"/>
      <c r="T93" s="44"/>
      <c r="U93" s="42"/>
      <c r="V93" s="42"/>
      <c r="W93" s="42"/>
      <c r="X93" s="42"/>
      <c r="Y93" s="42"/>
      <c r="Z93" s="44"/>
      <c r="AA93" s="42"/>
      <c r="AB93" s="42"/>
      <c r="AC93" s="42"/>
      <c r="AD93" s="42"/>
      <c r="AE93" s="42"/>
      <c r="AF93" s="44"/>
      <c r="AG93" s="42"/>
      <c r="AH93" s="42"/>
      <c r="AI93" s="42"/>
      <c r="AJ93" s="42"/>
      <c r="AK93" s="42"/>
      <c r="AL93" s="44"/>
      <c r="AM93" s="42"/>
    </row>
    <row r="94" spans="1:39" s="41" customFormat="1" x14ac:dyDescent="0.25">
      <c r="A94" s="42">
        <f>'WBS chi tiết'!A94</f>
      </c>
      <c r="B94" s="42" t="s">
        <v>995</v>
      </c>
      <c r="C94" s="42">
        <f>'WBS chi tiết'!F94</f>
      </c>
      <c r="D94" s="43">
        <f>'WBS chi tiết'!N94</f>
      </c>
      <c r="E94" s="43">
        <f>'WBS chi tiết'!O94</f>
      </c>
      <c r="F94" s="42"/>
      <c r="G94" s="42"/>
      <c r="H94" s="44"/>
      <c r="I94" s="42"/>
      <c r="J94" s="42"/>
      <c r="K94" s="42"/>
      <c r="L94" s="42"/>
      <c r="M94" s="42"/>
      <c r="N94" s="44"/>
      <c r="O94" s="42"/>
      <c r="P94" s="42"/>
      <c r="Q94" s="42"/>
      <c r="R94" s="42"/>
      <c r="S94" s="42"/>
      <c r="T94" s="44"/>
      <c r="U94" s="42"/>
      <c r="V94" s="42"/>
      <c r="W94" s="42"/>
      <c r="X94" s="42"/>
      <c r="Y94" s="42"/>
      <c r="Z94" s="44"/>
      <c r="AA94" s="42"/>
      <c r="AB94" s="42"/>
      <c r="AC94" s="42"/>
      <c r="AD94" s="42"/>
      <c r="AE94" s="42"/>
      <c r="AF94" s="44"/>
      <c r="AG94" s="42"/>
      <c r="AH94" s="42"/>
      <c r="AI94" s="42"/>
      <c r="AJ94" s="42"/>
      <c r="AK94" s="42"/>
      <c r="AL94" s="44"/>
      <c r="AM94" s="42"/>
    </row>
    <row r="95" spans="1:39" s="41" customFormat="1" x14ac:dyDescent="0.25">
      <c r="A95" s="42">
        <f>'WBS chi tiết'!A95</f>
      </c>
      <c r="B95" s="42" t="s">
        <v>996</v>
      </c>
      <c r="C95" s="42">
        <f>'WBS chi tiết'!F95</f>
      </c>
      <c r="D95" s="43">
        <f>'WBS chi tiết'!N95</f>
      </c>
      <c r="E95" s="43">
        <f>'WBS chi tiết'!O95</f>
      </c>
      <c r="F95" s="42"/>
      <c r="G95" s="42"/>
      <c r="H95" s="44"/>
      <c r="I95" s="42"/>
      <c r="J95" s="42"/>
      <c r="K95" s="42"/>
      <c r="L95" s="42"/>
      <c r="M95" s="42"/>
      <c r="N95" s="44"/>
      <c r="O95" s="42"/>
      <c r="P95" s="42"/>
      <c r="Q95" s="42"/>
      <c r="R95" s="42"/>
      <c r="S95" s="42"/>
      <c r="T95" s="44"/>
      <c r="U95" s="42"/>
      <c r="V95" s="42"/>
      <c r="W95" s="42"/>
      <c r="X95" s="42"/>
      <c r="Y95" s="42"/>
      <c r="Z95" s="44"/>
      <c r="AA95" s="42"/>
      <c r="AB95" s="42"/>
      <c r="AC95" s="42"/>
      <c r="AD95" s="42"/>
      <c r="AE95" s="42"/>
      <c r="AF95" s="44"/>
      <c r="AG95" s="42"/>
      <c r="AH95" s="42"/>
      <c r="AI95" s="42"/>
      <c r="AJ95" s="42"/>
      <c r="AK95" s="42"/>
      <c r="AL95" s="44"/>
      <c r="AM95" s="42"/>
    </row>
    <row r="96" spans="1:39" s="41" customFormat="1" x14ac:dyDescent="0.25">
      <c r="A96" s="42">
        <f>'WBS chi tiết'!A96</f>
      </c>
      <c r="B96" s="42" t="s">
        <v>997</v>
      </c>
      <c r="C96" s="42">
        <f>'WBS chi tiết'!F96</f>
      </c>
      <c r="D96" s="43">
        <f>'WBS chi tiết'!N96</f>
      </c>
      <c r="E96" s="43">
        <f>'WBS chi tiết'!O96</f>
      </c>
      <c r="F96" s="42"/>
      <c r="G96" s="42"/>
      <c r="H96" s="44"/>
      <c r="I96" s="42"/>
      <c r="J96" s="42"/>
      <c r="K96" s="42"/>
      <c r="L96" s="42"/>
      <c r="M96" s="42"/>
      <c r="N96" s="44"/>
      <c r="O96" s="42"/>
      <c r="P96" s="42"/>
      <c r="Q96" s="42"/>
      <c r="R96" s="42"/>
      <c r="S96" s="42"/>
      <c r="T96" s="44"/>
      <c r="U96" s="42"/>
      <c r="V96" s="42"/>
      <c r="W96" s="42"/>
      <c r="X96" s="42"/>
      <c r="Y96" s="42"/>
      <c r="Z96" s="44"/>
      <c r="AA96" s="42"/>
      <c r="AB96" s="42"/>
      <c r="AC96" s="42"/>
      <c r="AD96" s="42"/>
      <c r="AE96" s="42"/>
      <c r="AF96" s="44"/>
      <c r="AG96" s="42"/>
      <c r="AH96" s="42"/>
      <c r="AI96" s="42"/>
      <c r="AJ96" s="42"/>
      <c r="AK96" s="42"/>
      <c r="AL96" s="44"/>
      <c r="AM96" s="42"/>
    </row>
    <row r="97" spans="1:39" s="41" customFormat="1" x14ac:dyDescent="0.25">
      <c r="A97" s="42">
        <f>'WBS chi tiết'!A97</f>
      </c>
      <c r="B97" s="42" t="s">
        <v>998</v>
      </c>
      <c r="C97" s="42">
        <f>'WBS chi tiết'!F97</f>
      </c>
      <c r="D97" s="43">
        <f>'WBS chi tiết'!N97</f>
      </c>
      <c r="E97" s="43">
        <f>'WBS chi tiết'!O97</f>
      </c>
      <c r="F97" s="42"/>
      <c r="G97" s="42"/>
      <c r="H97" s="44"/>
      <c r="I97" s="42"/>
      <c r="J97" s="42"/>
      <c r="K97" s="42"/>
      <c r="L97" s="42"/>
      <c r="M97" s="42"/>
      <c r="N97" s="44"/>
      <c r="O97" s="42"/>
      <c r="P97" s="42"/>
      <c r="Q97" s="42"/>
      <c r="R97" s="42"/>
      <c r="S97" s="42"/>
      <c r="T97" s="44"/>
      <c r="U97" s="42"/>
      <c r="V97" s="42"/>
      <c r="W97" s="42"/>
      <c r="X97" s="42"/>
      <c r="Y97" s="42"/>
      <c r="Z97" s="44"/>
      <c r="AA97" s="42"/>
      <c r="AB97" s="42"/>
      <c r="AC97" s="42"/>
      <c r="AD97" s="42"/>
      <c r="AE97" s="42"/>
      <c r="AF97" s="44"/>
      <c r="AG97" s="42"/>
      <c r="AH97" s="42"/>
      <c r="AI97" s="42"/>
      <c r="AJ97" s="42"/>
      <c r="AK97" s="42"/>
      <c r="AL97" s="44"/>
      <c r="AM97" s="42"/>
    </row>
    <row r="98" spans="1:39" s="41" customFormat="1" x14ac:dyDescent="0.25">
      <c r="A98" s="42">
        <f>'WBS chi tiết'!A98</f>
      </c>
      <c r="B98" s="42" t="s">
        <v>999</v>
      </c>
      <c r="C98" s="42">
        <f>'WBS chi tiết'!F98</f>
      </c>
      <c r="D98" s="43">
        <f>'WBS chi tiết'!N98</f>
      </c>
      <c r="E98" s="43">
        <f>'WBS chi tiết'!O98</f>
      </c>
      <c r="F98" s="42"/>
      <c r="G98" s="42"/>
      <c r="H98" s="44"/>
      <c r="I98" s="42"/>
      <c r="J98" s="42"/>
      <c r="K98" s="42"/>
      <c r="L98" s="42"/>
      <c r="M98" s="42"/>
      <c r="N98" s="44"/>
      <c r="O98" s="42"/>
      <c r="P98" s="42"/>
      <c r="Q98" s="42"/>
      <c r="R98" s="42"/>
      <c r="S98" s="42"/>
      <c r="T98" s="44"/>
      <c r="U98" s="42"/>
      <c r="V98" s="42"/>
      <c r="W98" s="42"/>
      <c r="X98" s="42"/>
      <c r="Y98" s="42"/>
      <c r="Z98" s="44"/>
      <c r="AA98" s="42"/>
      <c r="AB98" s="42"/>
      <c r="AC98" s="42"/>
      <c r="AD98" s="42"/>
      <c r="AE98" s="42"/>
      <c r="AF98" s="44"/>
      <c r="AG98" s="42"/>
      <c r="AH98" s="42"/>
      <c r="AI98" s="42"/>
      <c r="AJ98" s="42"/>
      <c r="AK98" s="42"/>
      <c r="AL98" s="44"/>
      <c r="AM98" s="42"/>
    </row>
    <row r="99" spans="1:39" s="41" customFormat="1" x14ac:dyDescent="0.25">
      <c r="A99" s="42">
        <f>'WBS chi tiết'!A99</f>
      </c>
      <c r="B99" s="42" t="s">
        <v>1000</v>
      </c>
      <c r="C99" s="42">
        <f>'WBS chi tiết'!F99</f>
      </c>
      <c r="D99" s="43">
        <f>'WBS chi tiết'!N99</f>
      </c>
      <c r="E99" s="43">
        <f>'WBS chi tiết'!O99</f>
      </c>
      <c r="F99" s="42"/>
      <c r="G99" s="42"/>
      <c r="H99" s="44"/>
      <c r="I99" s="42"/>
      <c r="J99" s="42"/>
      <c r="K99" s="42"/>
      <c r="L99" s="42"/>
      <c r="M99" s="42"/>
      <c r="N99" s="44"/>
      <c r="O99" s="42"/>
      <c r="P99" s="42"/>
      <c r="Q99" s="42"/>
      <c r="R99" s="42"/>
      <c r="S99" s="42"/>
      <c r="T99" s="44"/>
      <c r="U99" s="42"/>
      <c r="V99" s="42"/>
      <c r="W99" s="42"/>
      <c r="X99" s="42"/>
      <c r="Y99" s="42"/>
      <c r="Z99" s="44"/>
      <c r="AA99" s="42"/>
      <c r="AB99" s="42"/>
      <c r="AC99" s="42"/>
      <c r="AD99" s="42"/>
      <c r="AE99" s="42"/>
      <c r="AF99" s="44"/>
      <c r="AG99" s="42"/>
      <c r="AH99" s="42"/>
      <c r="AI99" s="42"/>
      <c r="AJ99" s="42"/>
      <c r="AK99" s="42"/>
      <c r="AL99" s="44"/>
      <c r="AM99" s="42"/>
    </row>
    <row r="100" spans="1:39" s="41" customFormat="1" x14ac:dyDescent="0.25">
      <c r="A100" s="42">
        <f>'WBS chi tiết'!A100</f>
      </c>
      <c r="B100" s="42" t="s">
        <v>1001</v>
      </c>
      <c r="C100" s="42">
        <f>'WBS chi tiết'!F100</f>
      </c>
      <c r="D100" s="43">
        <f>'WBS chi tiết'!N100</f>
      </c>
      <c r="E100" s="43">
        <f>'WBS chi tiết'!O100</f>
      </c>
      <c r="F100" s="42"/>
      <c r="G100" s="42"/>
      <c r="H100" s="44"/>
      <c r="I100" s="42"/>
      <c r="J100" s="42"/>
      <c r="K100" s="42"/>
      <c r="L100" s="42"/>
      <c r="M100" s="42"/>
      <c r="N100" s="44"/>
      <c r="O100" s="42"/>
      <c r="P100" s="42"/>
      <c r="Q100" s="42"/>
      <c r="R100" s="42"/>
      <c r="S100" s="42"/>
      <c r="T100" s="44"/>
      <c r="U100" s="42"/>
      <c r="V100" s="42"/>
      <c r="W100" s="42"/>
      <c r="X100" s="42"/>
      <c r="Y100" s="42"/>
      <c r="Z100" s="44"/>
      <c r="AA100" s="42"/>
      <c r="AB100" s="42"/>
      <c r="AC100" s="42"/>
      <c r="AD100" s="42"/>
      <c r="AE100" s="42"/>
      <c r="AF100" s="44"/>
      <c r="AG100" s="42"/>
      <c r="AH100" s="42"/>
      <c r="AI100" s="42"/>
      <c r="AJ100" s="42"/>
      <c r="AK100" s="42"/>
      <c r="AL100" s="44"/>
      <c r="AM100" s="42"/>
    </row>
    <row r="101" spans="1:39" s="41" customFormat="1" x14ac:dyDescent="0.25">
      <c r="A101" s="42">
        <f>'WBS chi tiết'!A101</f>
      </c>
      <c r="B101" s="42" t="s">
        <v>1002</v>
      </c>
      <c r="C101" s="42">
        <f>'WBS chi tiết'!F101</f>
      </c>
      <c r="D101" s="43">
        <f>'WBS chi tiết'!N101</f>
      </c>
      <c r="E101" s="43">
        <f>'WBS chi tiết'!O101</f>
      </c>
      <c r="F101" s="42"/>
      <c r="G101" s="42"/>
      <c r="H101" s="44"/>
      <c r="I101" s="42"/>
      <c r="J101" s="42"/>
      <c r="K101" s="42"/>
      <c r="L101" s="42"/>
      <c r="M101" s="42"/>
      <c r="N101" s="44"/>
      <c r="O101" s="42"/>
      <c r="P101" s="42"/>
      <c r="Q101" s="42"/>
      <c r="R101" s="42"/>
      <c r="S101" s="42"/>
      <c r="T101" s="44"/>
      <c r="U101" s="42"/>
      <c r="V101" s="42"/>
      <c r="W101" s="42"/>
      <c r="X101" s="42"/>
      <c r="Y101" s="42"/>
      <c r="Z101" s="44"/>
      <c r="AA101" s="42"/>
      <c r="AB101" s="42"/>
      <c r="AC101" s="42"/>
      <c r="AD101" s="42"/>
      <c r="AE101" s="42"/>
      <c r="AF101" s="44"/>
      <c r="AG101" s="42"/>
      <c r="AH101" s="42"/>
      <c r="AI101" s="42"/>
      <c r="AJ101" s="42"/>
      <c r="AK101" s="42"/>
      <c r="AL101" s="44"/>
      <c r="AM101" s="42"/>
    </row>
    <row r="102" spans="1:39" s="41" customFormat="1" x14ac:dyDescent="0.25">
      <c r="A102" s="42">
        <f>'WBS chi tiết'!A102</f>
      </c>
      <c r="B102" s="42" t="s">
        <v>1003</v>
      </c>
      <c r="C102" s="42">
        <f>'WBS chi tiết'!F102</f>
      </c>
      <c r="D102" s="43">
        <f>'WBS chi tiết'!N102</f>
      </c>
      <c r="E102" s="43">
        <f>'WBS chi tiết'!O102</f>
      </c>
      <c r="F102" s="42"/>
      <c r="G102" s="42"/>
      <c r="H102" s="44"/>
      <c r="I102" s="42"/>
      <c r="J102" s="42"/>
      <c r="K102" s="42"/>
      <c r="L102" s="42"/>
      <c r="M102" s="42"/>
      <c r="N102" s="44"/>
      <c r="O102" s="42"/>
      <c r="P102" s="42"/>
      <c r="Q102" s="42"/>
      <c r="R102" s="42"/>
      <c r="S102" s="42"/>
      <c r="T102" s="44"/>
      <c r="U102" s="42"/>
      <c r="V102" s="42"/>
      <c r="W102" s="42"/>
      <c r="X102" s="42"/>
      <c r="Y102" s="42"/>
      <c r="Z102" s="44"/>
      <c r="AA102" s="42"/>
      <c r="AB102" s="42"/>
      <c r="AC102" s="42"/>
      <c r="AD102" s="42"/>
      <c r="AE102" s="42"/>
      <c r="AF102" s="44"/>
      <c r="AG102" s="42"/>
      <c r="AH102" s="42"/>
      <c r="AI102" s="42"/>
      <c r="AJ102" s="42"/>
      <c r="AK102" s="42"/>
      <c r="AL102" s="44"/>
      <c r="AM102" s="42"/>
    </row>
    <row r="103" spans="1:39" s="41" customFormat="1" x14ac:dyDescent="0.25">
      <c r="A103" s="42">
        <f>'WBS chi tiết'!A103</f>
      </c>
      <c r="B103" s="42" t="s">
        <v>1004</v>
      </c>
      <c r="C103" s="42">
        <f>'WBS chi tiết'!F103</f>
      </c>
      <c r="D103" s="43">
        <f>'WBS chi tiết'!N103</f>
      </c>
      <c r="E103" s="43">
        <f>'WBS chi tiết'!O103</f>
      </c>
      <c r="F103" s="42"/>
      <c r="G103" s="42"/>
      <c r="H103" s="44"/>
      <c r="I103" s="42"/>
      <c r="J103" s="42"/>
      <c r="K103" s="42"/>
      <c r="L103" s="42"/>
      <c r="M103" s="42"/>
      <c r="N103" s="44"/>
      <c r="O103" s="42"/>
      <c r="P103" s="42"/>
      <c r="Q103" s="42"/>
      <c r="R103" s="42"/>
      <c r="S103" s="42"/>
      <c r="T103" s="44"/>
      <c r="U103" s="42"/>
      <c r="V103" s="42"/>
      <c r="W103" s="42"/>
      <c r="X103" s="42"/>
      <c r="Y103" s="42"/>
      <c r="Z103" s="44"/>
      <c r="AA103" s="42"/>
      <c r="AB103" s="42"/>
      <c r="AC103" s="42"/>
      <c r="AD103" s="42"/>
      <c r="AE103" s="42"/>
      <c r="AF103" s="44"/>
      <c r="AG103" s="42"/>
      <c r="AH103" s="42"/>
      <c r="AI103" s="42"/>
      <c r="AJ103" s="42"/>
      <c r="AK103" s="42"/>
      <c r="AL103" s="44"/>
      <c r="AM103" s="42"/>
    </row>
    <row r="104" spans="1:39" s="41" customFormat="1" x14ac:dyDescent="0.25">
      <c r="A104" s="42">
        <f>'WBS chi tiết'!A104</f>
      </c>
      <c r="B104" s="42" t="s">
        <v>1005</v>
      </c>
      <c r="C104" s="42">
        <f>'WBS chi tiết'!F104</f>
      </c>
      <c r="D104" s="43">
        <f>'WBS chi tiết'!N104</f>
      </c>
      <c r="E104" s="43">
        <f>'WBS chi tiết'!O104</f>
      </c>
      <c r="F104" s="42"/>
      <c r="G104" s="42"/>
      <c r="H104" s="44"/>
      <c r="I104" s="42"/>
      <c r="J104" s="42"/>
      <c r="K104" s="42"/>
      <c r="L104" s="42"/>
      <c r="M104" s="42"/>
      <c r="N104" s="44"/>
      <c r="O104" s="42"/>
      <c r="P104" s="42"/>
      <c r="Q104" s="42"/>
      <c r="R104" s="42"/>
      <c r="S104" s="42"/>
      <c r="T104" s="44"/>
      <c r="U104" s="42"/>
      <c r="V104" s="42"/>
      <c r="W104" s="42"/>
      <c r="X104" s="42"/>
      <c r="Y104" s="42"/>
      <c r="Z104" s="44"/>
      <c r="AA104" s="42"/>
      <c r="AB104" s="42"/>
      <c r="AC104" s="42"/>
      <c r="AD104" s="42"/>
      <c r="AE104" s="42"/>
      <c r="AF104" s="44"/>
      <c r="AG104" s="42"/>
      <c r="AH104" s="42"/>
      <c r="AI104" s="42"/>
      <c r="AJ104" s="42"/>
      <c r="AK104" s="42"/>
      <c r="AL104" s="44"/>
      <c r="AM104" s="42"/>
    </row>
    <row r="105" spans="1:39" s="41" customFormat="1" x14ac:dyDescent="0.25">
      <c r="A105" s="42">
        <f>'WBS chi tiết'!A105</f>
      </c>
      <c r="B105" s="42" t="s">
        <v>1006</v>
      </c>
      <c r="C105" s="42">
        <f>'WBS chi tiết'!F105</f>
      </c>
      <c r="D105" s="43">
        <f>'WBS chi tiết'!N105</f>
      </c>
      <c r="E105" s="43">
        <f>'WBS chi tiết'!O105</f>
      </c>
      <c r="F105" s="42"/>
      <c r="G105" s="42"/>
      <c r="H105" s="44"/>
      <c r="I105" s="42"/>
      <c r="J105" s="42"/>
      <c r="K105" s="42"/>
      <c r="L105" s="42"/>
      <c r="M105" s="42"/>
      <c r="N105" s="44"/>
      <c r="O105" s="42"/>
      <c r="P105" s="42"/>
      <c r="Q105" s="42"/>
      <c r="R105" s="42"/>
      <c r="S105" s="42"/>
      <c r="T105" s="44"/>
      <c r="U105" s="42"/>
      <c r="V105" s="42"/>
      <c r="W105" s="42"/>
      <c r="X105" s="42"/>
      <c r="Y105" s="42"/>
      <c r="Z105" s="44"/>
      <c r="AA105" s="42"/>
      <c r="AB105" s="42"/>
      <c r="AC105" s="42"/>
      <c r="AD105" s="42"/>
      <c r="AE105" s="42"/>
      <c r="AF105" s="44"/>
      <c r="AG105" s="42"/>
      <c r="AH105" s="42"/>
      <c r="AI105" s="42"/>
      <c r="AJ105" s="42"/>
      <c r="AK105" s="42"/>
      <c r="AL105" s="44"/>
      <c r="AM105" s="42"/>
    </row>
    <row r="106" spans="1:39" s="41" customFormat="1" x14ac:dyDescent="0.25">
      <c r="A106" s="42">
        <f>'WBS chi tiết'!A106</f>
      </c>
      <c r="B106" s="42" t="s">
        <v>1007</v>
      </c>
      <c r="C106" s="42">
        <f>'WBS chi tiết'!F106</f>
      </c>
      <c r="D106" s="43">
        <f>'WBS chi tiết'!N106</f>
      </c>
      <c r="E106" s="43">
        <f>'WBS chi tiết'!O106</f>
      </c>
      <c r="F106" s="42"/>
      <c r="G106" s="42"/>
      <c r="H106" s="44"/>
      <c r="I106" s="42"/>
      <c r="J106" s="42"/>
      <c r="K106" s="42"/>
      <c r="L106" s="42"/>
      <c r="M106" s="42"/>
      <c r="N106" s="44"/>
      <c r="O106" s="42"/>
      <c r="P106" s="42"/>
      <c r="Q106" s="42"/>
      <c r="R106" s="42"/>
      <c r="S106" s="42"/>
      <c r="T106" s="44"/>
      <c r="U106" s="42"/>
      <c r="V106" s="42"/>
      <c r="W106" s="42"/>
      <c r="X106" s="42"/>
      <c r="Y106" s="42"/>
      <c r="Z106" s="44"/>
      <c r="AA106" s="42"/>
      <c r="AB106" s="42"/>
      <c r="AC106" s="42"/>
      <c r="AD106" s="42"/>
      <c r="AE106" s="42"/>
      <c r="AF106" s="44"/>
      <c r="AG106" s="42"/>
      <c r="AH106" s="42"/>
      <c r="AI106" s="42"/>
      <c r="AJ106" s="42"/>
      <c r="AK106" s="42"/>
      <c r="AL106" s="44"/>
      <c r="AM106" s="42"/>
    </row>
    <row r="107" spans="1:39" s="41" customFormat="1" x14ac:dyDescent="0.25">
      <c r="A107" s="42">
        <f>'WBS chi tiết'!A107</f>
      </c>
      <c r="B107" s="42" t="s">
        <v>1008</v>
      </c>
      <c r="C107" s="42">
        <f>'WBS chi tiết'!F107</f>
      </c>
      <c r="D107" s="43">
        <f>'WBS chi tiết'!N107</f>
      </c>
      <c r="E107" s="43">
        <f>'WBS chi tiết'!O107</f>
      </c>
      <c r="F107" s="42"/>
      <c r="G107" s="42"/>
      <c r="H107" s="44"/>
      <c r="I107" s="42"/>
      <c r="J107" s="42"/>
      <c r="K107" s="42"/>
      <c r="L107" s="42"/>
      <c r="M107" s="42"/>
      <c r="N107" s="44"/>
      <c r="O107" s="42"/>
      <c r="P107" s="42"/>
      <c r="Q107" s="42"/>
      <c r="R107" s="42"/>
      <c r="S107" s="42"/>
      <c r="T107" s="44"/>
      <c r="U107" s="42"/>
      <c r="V107" s="42"/>
      <c r="W107" s="42"/>
      <c r="X107" s="42"/>
      <c r="Y107" s="42"/>
      <c r="Z107" s="44"/>
      <c r="AA107" s="42"/>
      <c r="AB107" s="42"/>
      <c r="AC107" s="42"/>
      <c r="AD107" s="42"/>
      <c r="AE107" s="42"/>
      <c r="AF107" s="44"/>
      <c r="AG107" s="42"/>
      <c r="AH107" s="42"/>
      <c r="AI107" s="42"/>
      <c r="AJ107" s="42"/>
      <c r="AK107" s="42"/>
      <c r="AL107" s="44"/>
      <c r="AM107" s="42"/>
    </row>
    <row r="108" spans="1:39" s="41" customFormat="1" x14ac:dyDescent="0.25">
      <c r="A108" s="42">
        <f>'WBS chi tiết'!A108</f>
      </c>
      <c r="B108" s="42" t="s">
        <v>1009</v>
      </c>
      <c r="C108" s="42">
        <f>'WBS chi tiết'!F108</f>
      </c>
      <c r="D108" s="43">
        <f>'WBS chi tiết'!N108</f>
      </c>
      <c r="E108" s="43">
        <f>'WBS chi tiết'!O108</f>
      </c>
      <c r="F108" s="42"/>
      <c r="G108" s="42"/>
      <c r="H108" s="44"/>
      <c r="I108" s="42"/>
      <c r="J108" s="42"/>
      <c r="K108" s="42"/>
      <c r="L108" s="42"/>
      <c r="M108" s="42"/>
      <c r="N108" s="44"/>
      <c r="O108" s="42"/>
      <c r="P108" s="42"/>
      <c r="Q108" s="42"/>
      <c r="R108" s="42"/>
      <c r="S108" s="42"/>
      <c r="T108" s="44"/>
      <c r="U108" s="42"/>
      <c r="V108" s="42"/>
      <c r="W108" s="42"/>
      <c r="X108" s="42"/>
      <c r="Y108" s="42"/>
      <c r="Z108" s="44"/>
      <c r="AA108" s="42"/>
      <c r="AB108" s="42"/>
      <c r="AC108" s="42"/>
      <c r="AD108" s="42"/>
      <c r="AE108" s="42"/>
      <c r="AF108" s="44"/>
      <c r="AG108" s="42"/>
      <c r="AH108" s="42"/>
      <c r="AI108" s="42"/>
      <c r="AJ108" s="42"/>
      <c r="AK108" s="42"/>
      <c r="AL108" s="44"/>
      <c r="AM108" s="42"/>
    </row>
    <row r="109" spans="1:39" s="41" customFormat="1" x14ac:dyDescent="0.25">
      <c r="A109" s="42">
        <f>'WBS chi tiết'!A109</f>
      </c>
      <c r="B109" s="42" t="s">
        <v>759</v>
      </c>
      <c r="C109" s="42">
        <f>'WBS chi tiết'!F109</f>
      </c>
      <c r="D109" s="43">
        <f>'WBS chi tiết'!N109</f>
      </c>
      <c r="E109" s="43">
        <f>'WBS chi tiết'!O109</f>
      </c>
      <c r="F109" s="42"/>
      <c r="G109" s="42"/>
      <c r="H109" s="44"/>
      <c r="I109" s="42"/>
      <c r="J109" s="42"/>
      <c r="K109" s="42"/>
      <c r="L109" s="42"/>
      <c r="M109" s="42"/>
      <c r="N109" s="44"/>
      <c r="O109" s="42"/>
      <c r="P109" s="42"/>
      <c r="Q109" s="42"/>
      <c r="R109" s="42"/>
      <c r="S109" s="42"/>
      <c r="T109" s="44"/>
      <c r="U109" s="42"/>
      <c r="V109" s="42"/>
      <c r="W109" s="42"/>
      <c r="X109" s="42"/>
      <c r="Y109" s="42"/>
      <c r="Z109" s="44"/>
      <c r="AA109" s="42"/>
      <c r="AB109" s="42"/>
      <c r="AC109" s="42"/>
      <c r="AD109" s="42"/>
      <c r="AE109" s="42"/>
      <c r="AF109" s="44"/>
      <c r="AG109" s="42"/>
      <c r="AH109" s="42"/>
      <c r="AI109" s="42"/>
      <c r="AJ109" s="42"/>
      <c r="AK109" s="42"/>
      <c r="AL109" s="44"/>
      <c r="AM109" s="42"/>
    </row>
    <row r="110" spans="1:39" s="41" customFormat="1" x14ac:dyDescent="0.25">
      <c r="A110" s="42">
        <f>'WBS chi tiết'!A110</f>
      </c>
      <c r="B110" s="42" t="s">
        <v>1010</v>
      </c>
      <c r="C110" s="42">
        <f>'WBS chi tiết'!F110</f>
      </c>
      <c r="D110" s="43">
        <f>'WBS chi tiết'!N110</f>
      </c>
      <c r="E110" s="43">
        <f>'WBS chi tiết'!O110</f>
      </c>
      <c r="F110" s="42"/>
      <c r="G110" s="42"/>
      <c r="H110" s="44"/>
      <c r="I110" s="42"/>
      <c r="J110" s="42"/>
      <c r="K110" s="42"/>
      <c r="L110" s="42"/>
      <c r="M110" s="42"/>
      <c r="N110" s="44"/>
      <c r="O110" s="42"/>
      <c r="P110" s="42"/>
      <c r="Q110" s="42"/>
      <c r="R110" s="42"/>
      <c r="S110" s="42"/>
      <c r="T110" s="44"/>
      <c r="U110" s="42"/>
      <c r="V110" s="42"/>
      <c r="W110" s="42"/>
      <c r="X110" s="42"/>
      <c r="Y110" s="42"/>
      <c r="Z110" s="44"/>
      <c r="AA110" s="42"/>
      <c r="AB110" s="42"/>
      <c r="AC110" s="42"/>
      <c r="AD110" s="42"/>
      <c r="AE110" s="42"/>
      <c r="AF110" s="44"/>
      <c r="AG110" s="42"/>
      <c r="AH110" s="42"/>
      <c r="AI110" s="42"/>
      <c r="AJ110" s="42"/>
      <c r="AK110" s="42"/>
      <c r="AL110" s="44"/>
      <c r="AM110" s="42"/>
    </row>
    <row r="111" spans="1:39" s="41" customFormat="1" x14ac:dyDescent="0.25">
      <c r="A111" s="42">
        <f>'WBS chi tiết'!A111</f>
      </c>
      <c r="B111" s="42" t="s">
        <v>1011</v>
      </c>
      <c r="C111" s="42">
        <f>'WBS chi tiết'!F111</f>
      </c>
      <c r="D111" s="43">
        <f>'WBS chi tiết'!N111</f>
      </c>
      <c r="E111" s="43">
        <f>'WBS chi tiết'!O111</f>
      </c>
      <c r="F111" s="42"/>
      <c r="G111" s="42"/>
      <c r="H111" s="44"/>
      <c r="I111" s="42"/>
      <c r="J111" s="42"/>
      <c r="K111" s="42"/>
      <c r="L111" s="42"/>
      <c r="M111" s="42"/>
      <c r="N111" s="44"/>
      <c r="O111" s="42"/>
      <c r="P111" s="42"/>
      <c r="Q111" s="42"/>
      <c r="R111" s="42"/>
      <c r="S111" s="42"/>
      <c r="T111" s="44"/>
      <c r="U111" s="42"/>
      <c r="V111" s="42"/>
      <c r="W111" s="42"/>
      <c r="X111" s="42"/>
      <c r="Y111" s="42"/>
      <c r="Z111" s="44"/>
      <c r="AA111" s="42"/>
      <c r="AB111" s="42"/>
      <c r="AC111" s="42"/>
      <c r="AD111" s="42"/>
      <c r="AE111" s="42"/>
      <c r="AF111" s="44"/>
      <c r="AG111" s="42"/>
      <c r="AH111" s="42"/>
      <c r="AI111" s="42"/>
      <c r="AJ111" s="42"/>
      <c r="AK111" s="42"/>
      <c r="AL111" s="44"/>
      <c r="AM111" s="42"/>
    </row>
    <row r="112" spans="1:39" s="41" customFormat="1" x14ac:dyDescent="0.25">
      <c r="A112" s="42">
        <f>'WBS chi tiết'!A112</f>
      </c>
      <c r="B112" s="42" t="s">
        <v>1012</v>
      </c>
      <c r="C112" s="42">
        <f>'WBS chi tiết'!F112</f>
      </c>
      <c r="D112" s="43">
        <f>'WBS chi tiết'!N112</f>
      </c>
      <c r="E112" s="43">
        <f>'WBS chi tiết'!O112</f>
      </c>
      <c r="F112" s="42"/>
      <c r="G112" s="42"/>
      <c r="H112" s="44"/>
      <c r="I112" s="42"/>
      <c r="J112" s="42"/>
      <c r="K112" s="42"/>
      <c r="L112" s="42"/>
      <c r="M112" s="42"/>
      <c r="N112" s="44"/>
      <c r="O112" s="42"/>
      <c r="P112" s="42"/>
      <c r="Q112" s="42"/>
      <c r="R112" s="42"/>
      <c r="S112" s="42"/>
      <c r="T112" s="44"/>
      <c r="U112" s="42"/>
      <c r="V112" s="42"/>
      <c r="W112" s="42"/>
      <c r="X112" s="42"/>
      <c r="Y112" s="42"/>
      <c r="Z112" s="44"/>
      <c r="AA112" s="42"/>
      <c r="AB112" s="42"/>
      <c r="AC112" s="42"/>
      <c r="AD112" s="42"/>
      <c r="AE112" s="42"/>
      <c r="AF112" s="44"/>
      <c r="AG112" s="42"/>
      <c r="AH112" s="42"/>
      <c r="AI112" s="42"/>
      <c r="AJ112" s="42"/>
      <c r="AK112" s="42"/>
      <c r="AL112" s="44"/>
      <c r="AM112" s="42"/>
    </row>
    <row r="113" spans="1:39" s="41" customFormat="1" x14ac:dyDescent="0.25">
      <c r="A113" s="42">
        <f>'WBS chi tiết'!A113</f>
      </c>
      <c r="B113" s="42" t="s">
        <v>769</v>
      </c>
      <c r="C113" s="42">
        <f>'WBS chi tiết'!F113</f>
      </c>
      <c r="D113" s="43">
        <f>'WBS chi tiết'!N113</f>
      </c>
      <c r="E113" s="43">
        <f>'WBS chi tiết'!O113</f>
      </c>
      <c r="F113" s="42"/>
      <c r="G113" s="42"/>
      <c r="H113" s="44"/>
      <c r="I113" s="42"/>
      <c r="J113" s="42"/>
      <c r="K113" s="42"/>
      <c r="L113" s="42"/>
      <c r="M113" s="42"/>
      <c r="N113" s="44"/>
      <c r="O113" s="42"/>
      <c r="P113" s="42"/>
      <c r="Q113" s="42"/>
      <c r="R113" s="42"/>
      <c r="S113" s="42"/>
      <c r="T113" s="44"/>
      <c r="U113" s="42"/>
      <c r="V113" s="42"/>
      <c r="W113" s="42"/>
      <c r="X113" s="42"/>
      <c r="Y113" s="42"/>
      <c r="Z113" s="44"/>
      <c r="AA113" s="42"/>
      <c r="AB113" s="42"/>
      <c r="AC113" s="42"/>
      <c r="AD113" s="42"/>
      <c r="AE113" s="42"/>
      <c r="AF113" s="44"/>
      <c r="AG113" s="42"/>
      <c r="AH113" s="42"/>
      <c r="AI113" s="42"/>
      <c r="AJ113" s="42"/>
      <c r="AK113" s="42"/>
      <c r="AL113" s="44"/>
      <c r="AM113" s="42"/>
    </row>
    <row r="114" spans="1:39" s="41" customFormat="1" x14ac:dyDescent="0.25">
      <c r="A114" s="42">
        <f>'WBS chi tiết'!A114</f>
      </c>
      <c r="B114" s="42" t="s">
        <v>1013</v>
      </c>
      <c r="C114" s="42">
        <f>'WBS chi tiết'!F114</f>
      </c>
      <c r="D114" s="43">
        <f>'WBS chi tiết'!N114</f>
      </c>
      <c r="E114" s="43">
        <f>'WBS chi tiết'!O114</f>
      </c>
      <c r="F114" s="42"/>
      <c r="G114" s="42"/>
      <c r="H114" s="44"/>
      <c r="I114" s="42"/>
      <c r="J114" s="42"/>
      <c r="K114" s="42"/>
      <c r="L114" s="42"/>
      <c r="M114" s="42"/>
      <c r="N114" s="44"/>
      <c r="O114" s="42"/>
      <c r="P114" s="42"/>
      <c r="Q114" s="42"/>
      <c r="R114" s="42"/>
      <c r="S114" s="42"/>
      <c r="T114" s="44"/>
      <c r="U114" s="42"/>
      <c r="V114" s="42"/>
      <c r="W114" s="42"/>
      <c r="X114" s="42"/>
      <c r="Y114" s="42"/>
      <c r="Z114" s="44"/>
      <c r="AA114" s="42"/>
      <c r="AB114" s="42"/>
      <c r="AC114" s="42"/>
      <c r="AD114" s="42"/>
      <c r="AE114" s="42"/>
      <c r="AF114" s="44"/>
      <c r="AG114" s="42"/>
      <c r="AH114" s="42"/>
      <c r="AI114" s="42"/>
      <c r="AJ114" s="42"/>
      <c r="AK114" s="42"/>
      <c r="AL114" s="44"/>
      <c r="AM114" s="42"/>
    </row>
    <row r="115" spans="1:39" s="41" customFormat="1" x14ac:dyDescent="0.25">
      <c r="A115" s="42">
        <f>'WBS chi tiết'!A115</f>
      </c>
      <c r="B115" s="42" t="s">
        <v>776</v>
      </c>
      <c r="C115" s="42">
        <f>'WBS chi tiết'!F115</f>
      </c>
      <c r="D115" s="43">
        <f>'WBS chi tiết'!N115</f>
      </c>
      <c r="E115" s="43">
        <f>'WBS chi tiết'!O115</f>
      </c>
      <c r="F115" s="42"/>
      <c r="G115" s="42"/>
      <c r="H115" s="44"/>
      <c r="I115" s="42"/>
      <c r="J115" s="42"/>
      <c r="K115" s="42"/>
      <c r="L115" s="42"/>
      <c r="M115" s="42"/>
      <c r="N115" s="44"/>
      <c r="O115" s="42"/>
      <c r="P115" s="42"/>
      <c r="Q115" s="42"/>
      <c r="R115" s="42"/>
      <c r="S115" s="42"/>
      <c r="T115" s="44"/>
      <c r="U115" s="42"/>
      <c r="V115" s="42"/>
      <c r="W115" s="42"/>
      <c r="X115" s="42"/>
      <c r="Y115" s="42"/>
      <c r="Z115" s="44"/>
      <c r="AA115" s="42"/>
      <c r="AB115" s="42"/>
      <c r="AC115" s="42"/>
      <c r="AD115" s="42"/>
      <c r="AE115" s="42"/>
      <c r="AF115" s="44"/>
      <c r="AG115" s="42"/>
      <c r="AH115" s="42"/>
      <c r="AI115" s="42"/>
      <c r="AJ115" s="42"/>
      <c r="AK115" s="42"/>
      <c r="AL115" s="44"/>
      <c r="AM115" s="42"/>
    </row>
    <row r="116" spans="1:39" s="41" customFormat="1" x14ac:dyDescent="0.25">
      <c r="A116" s="42">
        <f>'WBS chi tiết'!A116</f>
      </c>
      <c r="B116" s="42" t="s">
        <v>1014</v>
      </c>
      <c r="C116" s="42">
        <f>'WBS chi tiết'!F116</f>
      </c>
      <c r="D116" s="43">
        <f>'WBS chi tiết'!N116</f>
      </c>
      <c r="E116" s="43">
        <f>'WBS chi tiết'!O116</f>
      </c>
      <c r="F116" s="42"/>
      <c r="G116" s="42"/>
      <c r="H116" s="44"/>
      <c r="I116" s="42"/>
      <c r="J116" s="42"/>
      <c r="K116" s="42"/>
      <c r="L116" s="42"/>
      <c r="M116" s="42"/>
      <c r="N116" s="44"/>
      <c r="O116" s="42"/>
      <c r="P116" s="42"/>
      <c r="Q116" s="42"/>
      <c r="R116" s="42"/>
      <c r="S116" s="42"/>
      <c r="T116" s="44"/>
      <c r="U116" s="42"/>
      <c r="V116" s="42"/>
      <c r="W116" s="42"/>
      <c r="X116" s="42"/>
      <c r="Y116" s="42"/>
      <c r="Z116" s="44"/>
      <c r="AA116" s="42"/>
      <c r="AB116" s="42"/>
      <c r="AC116" s="42"/>
      <c r="AD116" s="42"/>
      <c r="AE116" s="42"/>
      <c r="AF116" s="44"/>
      <c r="AG116" s="42"/>
      <c r="AH116" s="42"/>
      <c r="AI116" s="42"/>
      <c r="AJ116" s="42"/>
      <c r="AK116" s="42"/>
      <c r="AL116" s="44"/>
      <c r="AM116" s="42"/>
    </row>
    <row r="117" spans="1:39" s="41" customFormat="1" x14ac:dyDescent="0.25">
      <c r="A117" s="42">
        <f>'WBS chi tiết'!A117</f>
      </c>
      <c r="B117" s="42" t="s">
        <v>1015</v>
      </c>
      <c r="C117" s="42">
        <f>'WBS chi tiết'!F117</f>
      </c>
      <c r="D117" s="43">
        <f>'WBS chi tiết'!N117</f>
      </c>
      <c r="E117" s="43">
        <f>'WBS chi tiết'!O117</f>
      </c>
      <c r="F117" s="42"/>
      <c r="G117" s="42"/>
      <c r="H117" s="44"/>
      <c r="I117" s="42"/>
      <c r="J117" s="42"/>
      <c r="K117" s="42"/>
      <c r="L117" s="42"/>
      <c r="M117" s="42"/>
      <c r="N117" s="44"/>
      <c r="O117" s="42"/>
      <c r="P117" s="42"/>
      <c r="Q117" s="42"/>
      <c r="R117" s="42"/>
      <c r="S117" s="42"/>
      <c r="T117" s="44"/>
      <c r="U117" s="42"/>
      <c r="V117" s="42"/>
      <c r="W117" s="42"/>
      <c r="X117" s="42"/>
      <c r="Y117" s="42"/>
      <c r="Z117" s="44"/>
      <c r="AA117" s="42"/>
      <c r="AB117" s="42"/>
      <c r="AC117" s="42"/>
      <c r="AD117" s="42"/>
      <c r="AE117" s="42"/>
      <c r="AF117" s="44"/>
      <c r="AG117" s="42"/>
      <c r="AH117" s="42"/>
      <c r="AI117" s="42"/>
      <c r="AJ117" s="42"/>
      <c r="AK117" s="42"/>
      <c r="AL117" s="44"/>
      <c r="AM117" s="42"/>
    </row>
    <row r="118" spans="1:39" s="41" customFormat="1" x14ac:dyDescent="0.25">
      <c r="A118" s="42">
        <f>'WBS chi tiết'!A118</f>
      </c>
      <c r="B118" s="42" t="s">
        <v>1016</v>
      </c>
      <c r="C118" s="42">
        <f>'WBS chi tiết'!F118</f>
      </c>
      <c r="D118" s="43">
        <f>'WBS chi tiết'!N118</f>
      </c>
      <c r="E118" s="43">
        <f>'WBS chi tiết'!O118</f>
      </c>
      <c r="F118" s="42"/>
      <c r="G118" s="42"/>
      <c r="H118" s="44"/>
      <c r="I118" s="42"/>
      <c r="J118" s="42"/>
      <c r="K118" s="42"/>
      <c r="L118" s="42"/>
      <c r="M118" s="42"/>
      <c r="N118" s="44"/>
      <c r="O118" s="42"/>
      <c r="P118" s="42"/>
      <c r="Q118" s="42"/>
      <c r="R118" s="42"/>
      <c r="S118" s="42"/>
      <c r="T118" s="44"/>
      <c r="U118" s="42"/>
      <c r="V118" s="42"/>
      <c r="W118" s="42"/>
      <c r="X118" s="42"/>
      <c r="Y118" s="42"/>
      <c r="Z118" s="44"/>
      <c r="AA118" s="42"/>
      <c r="AB118" s="42"/>
      <c r="AC118" s="42"/>
      <c r="AD118" s="42"/>
      <c r="AE118" s="42"/>
      <c r="AF118" s="44"/>
      <c r="AG118" s="42"/>
      <c r="AH118" s="42"/>
      <c r="AI118" s="42"/>
      <c r="AJ118" s="42"/>
      <c r="AK118" s="42"/>
      <c r="AL118" s="44"/>
      <c r="AM118" s="42"/>
    </row>
    <row r="119" spans="1:39" s="41" customFormat="1" x14ac:dyDescent="0.25">
      <c r="A119" s="42">
        <f>'WBS chi tiết'!A119</f>
      </c>
      <c r="B119" s="42" t="s">
        <v>781</v>
      </c>
      <c r="C119" s="42">
        <f>'WBS chi tiết'!F119</f>
      </c>
      <c r="D119" s="43">
        <f>'WBS chi tiết'!N119</f>
      </c>
      <c r="E119" s="43">
        <f>'WBS chi tiết'!O119</f>
      </c>
      <c r="F119" s="42"/>
      <c r="G119" s="42"/>
      <c r="H119" s="44"/>
      <c r="I119" s="42"/>
      <c r="J119" s="42"/>
      <c r="K119" s="42"/>
      <c r="L119" s="42"/>
      <c r="M119" s="42"/>
      <c r="N119" s="44"/>
      <c r="O119" s="42"/>
      <c r="P119" s="42"/>
      <c r="Q119" s="42"/>
      <c r="R119" s="42"/>
      <c r="S119" s="42"/>
      <c r="T119" s="44"/>
      <c r="U119" s="42"/>
      <c r="V119" s="42"/>
      <c r="W119" s="42"/>
      <c r="X119" s="42"/>
      <c r="Y119" s="42"/>
      <c r="Z119" s="44"/>
      <c r="AA119" s="42"/>
      <c r="AB119" s="42"/>
      <c r="AC119" s="42"/>
      <c r="AD119" s="42"/>
      <c r="AE119" s="42"/>
      <c r="AF119" s="44"/>
      <c r="AG119" s="42"/>
      <c r="AH119" s="42"/>
      <c r="AI119" s="42"/>
      <c r="AJ119" s="42"/>
      <c r="AK119" s="42"/>
      <c r="AL119" s="44"/>
      <c r="AM119" s="42"/>
    </row>
    <row r="120" spans="1:39" s="41" customFormat="1" x14ac:dyDescent="0.25">
      <c r="A120" s="42">
        <f>'WBS chi tiết'!A120</f>
      </c>
      <c r="B120" s="42" t="s">
        <v>1017</v>
      </c>
      <c r="C120" s="42">
        <f>'WBS chi tiết'!F120</f>
      </c>
      <c r="D120" s="43">
        <f>'WBS chi tiết'!N120</f>
      </c>
      <c r="E120" s="43">
        <f>'WBS chi tiết'!O120</f>
      </c>
      <c r="F120" s="42"/>
      <c r="G120" s="42"/>
      <c r="H120" s="44"/>
      <c r="I120" s="42"/>
      <c r="J120" s="42"/>
      <c r="K120" s="42"/>
      <c r="L120" s="42"/>
      <c r="M120" s="42"/>
      <c r="N120" s="44"/>
      <c r="O120" s="42"/>
      <c r="P120" s="42"/>
      <c r="Q120" s="42"/>
      <c r="R120" s="42"/>
      <c r="S120" s="42"/>
      <c r="T120" s="44"/>
      <c r="U120" s="42"/>
      <c r="V120" s="42"/>
      <c r="W120" s="42"/>
      <c r="X120" s="42"/>
      <c r="Y120" s="42"/>
      <c r="Z120" s="44"/>
      <c r="AA120" s="42"/>
      <c r="AB120" s="42"/>
      <c r="AC120" s="42"/>
      <c r="AD120" s="42"/>
      <c r="AE120" s="42"/>
      <c r="AF120" s="44"/>
      <c r="AG120" s="42"/>
      <c r="AH120" s="42"/>
      <c r="AI120" s="42"/>
      <c r="AJ120" s="42"/>
      <c r="AK120" s="42"/>
      <c r="AL120" s="44"/>
      <c r="AM120" s="42"/>
    </row>
    <row r="121" spans="1:39" s="41" customFormat="1" x14ac:dyDescent="0.25">
      <c r="A121" s="42">
        <f>'WBS chi tiết'!A121</f>
      </c>
      <c r="B121" s="42" t="s">
        <v>1018</v>
      </c>
      <c r="C121" s="42">
        <f>'WBS chi tiết'!F121</f>
      </c>
      <c r="D121" s="43">
        <f>'WBS chi tiết'!N121</f>
      </c>
      <c r="E121" s="43">
        <f>'WBS chi tiết'!O121</f>
      </c>
      <c r="F121" s="42"/>
      <c r="G121" s="42"/>
      <c r="H121" s="44"/>
      <c r="I121" s="42"/>
      <c r="J121" s="42"/>
      <c r="K121" s="42"/>
      <c r="L121" s="42"/>
      <c r="M121" s="42"/>
      <c r="N121" s="44"/>
      <c r="O121" s="42"/>
      <c r="P121" s="42"/>
      <c r="Q121" s="42"/>
      <c r="R121" s="42"/>
      <c r="S121" s="42"/>
      <c r="T121" s="44"/>
      <c r="U121" s="42"/>
      <c r="V121" s="42"/>
      <c r="W121" s="42"/>
      <c r="X121" s="42"/>
      <c r="Y121" s="42"/>
      <c r="Z121" s="44"/>
      <c r="AA121" s="42"/>
      <c r="AB121" s="42"/>
      <c r="AC121" s="42"/>
      <c r="AD121" s="42"/>
      <c r="AE121" s="42"/>
      <c r="AF121" s="44"/>
      <c r="AG121" s="42"/>
      <c r="AH121" s="42"/>
      <c r="AI121" s="42"/>
      <c r="AJ121" s="42"/>
      <c r="AK121" s="42"/>
      <c r="AL121" s="44"/>
      <c r="AM121" s="42"/>
    </row>
    <row r="122" spans="1:39" s="41" customFormat="1" x14ac:dyDescent="0.25">
      <c r="A122" s="42">
        <f>'WBS chi tiết'!A122</f>
      </c>
      <c r="B122" s="42" t="s">
        <v>1019</v>
      </c>
      <c r="C122" s="42">
        <f>'WBS chi tiết'!F122</f>
      </c>
      <c r="D122" s="43">
        <f>'WBS chi tiết'!N122</f>
      </c>
      <c r="E122" s="43">
        <f>'WBS chi tiết'!O122</f>
      </c>
      <c r="F122" s="42"/>
      <c r="G122" s="42"/>
      <c r="H122" s="44"/>
      <c r="I122" s="42"/>
      <c r="J122" s="42"/>
      <c r="K122" s="42"/>
      <c r="L122" s="42"/>
      <c r="M122" s="42"/>
      <c r="N122" s="44"/>
      <c r="O122" s="42"/>
      <c r="P122" s="42"/>
      <c r="Q122" s="42"/>
      <c r="R122" s="42"/>
      <c r="S122" s="42"/>
      <c r="T122" s="44"/>
      <c r="U122" s="42"/>
      <c r="V122" s="42"/>
      <c r="W122" s="42"/>
      <c r="X122" s="42"/>
      <c r="Y122" s="42"/>
      <c r="Z122" s="44"/>
      <c r="AA122" s="42"/>
      <c r="AB122" s="42"/>
      <c r="AC122" s="42"/>
      <c r="AD122" s="42"/>
      <c r="AE122" s="42"/>
      <c r="AF122" s="44"/>
      <c r="AG122" s="42"/>
      <c r="AH122" s="42"/>
      <c r="AI122" s="42"/>
      <c r="AJ122" s="42"/>
      <c r="AK122" s="42"/>
      <c r="AL122" s="44"/>
      <c r="AM122" s="42"/>
    </row>
    <row r="123" spans="1:39" s="41" customFormat="1" x14ac:dyDescent="0.25">
      <c r="A123" s="42">
        <f>'WBS chi tiết'!A123</f>
      </c>
      <c r="B123" s="42" t="s">
        <v>786</v>
      </c>
      <c r="C123" s="42">
        <f>'WBS chi tiết'!F123</f>
      </c>
      <c r="D123" s="43">
        <f>'WBS chi tiết'!N123</f>
      </c>
      <c r="E123" s="43">
        <f>'WBS chi tiết'!O123</f>
      </c>
      <c r="F123" s="42"/>
      <c r="G123" s="42"/>
      <c r="H123" s="44"/>
      <c r="I123" s="42"/>
      <c r="J123" s="42"/>
      <c r="K123" s="42"/>
      <c r="L123" s="42"/>
      <c r="M123" s="42"/>
      <c r="N123" s="44"/>
      <c r="O123" s="42"/>
      <c r="P123" s="42"/>
      <c r="Q123" s="42"/>
      <c r="R123" s="42"/>
      <c r="S123" s="42"/>
      <c r="T123" s="44"/>
      <c r="U123" s="42"/>
      <c r="V123" s="42"/>
      <c r="W123" s="42"/>
      <c r="X123" s="42"/>
      <c r="Y123" s="42"/>
      <c r="Z123" s="44"/>
      <c r="AA123" s="42"/>
      <c r="AB123" s="42"/>
      <c r="AC123" s="42"/>
      <c r="AD123" s="42"/>
      <c r="AE123" s="42"/>
      <c r="AF123" s="44"/>
      <c r="AG123" s="42"/>
      <c r="AH123" s="42"/>
      <c r="AI123" s="42"/>
      <c r="AJ123" s="42"/>
      <c r="AK123" s="42"/>
      <c r="AL123" s="44"/>
      <c r="AM123" s="42"/>
    </row>
    <row r="124" spans="1:39" s="41" customFormat="1" x14ac:dyDescent="0.25">
      <c r="A124" s="42">
        <f>'WBS chi tiết'!A124</f>
      </c>
      <c r="B124" s="42" t="s">
        <v>1020</v>
      </c>
      <c r="C124" s="42">
        <f>'WBS chi tiết'!F124</f>
      </c>
      <c r="D124" s="43">
        <f>'WBS chi tiết'!N124</f>
      </c>
      <c r="E124" s="43">
        <f>'WBS chi tiết'!O124</f>
      </c>
      <c r="F124" s="42"/>
      <c r="G124" s="42"/>
      <c r="H124" s="44"/>
      <c r="I124" s="42"/>
      <c r="J124" s="42"/>
      <c r="K124" s="42"/>
      <c r="L124" s="42"/>
      <c r="M124" s="42"/>
      <c r="N124" s="44"/>
      <c r="O124" s="42"/>
      <c r="P124" s="42"/>
      <c r="Q124" s="42"/>
      <c r="R124" s="42"/>
      <c r="S124" s="42"/>
      <c r="T124" s="44"/>
      <c r="U124" s="42"/>
      <c r="V124" s="42"/>
      <c r="W124" s="42"/>
      <c r="X124" s="42"/>
      <c r="Y124" s="42"/>
      <c r="Z124" s="44"/>
      <c r="AA124" s="42"/>
      <c r="AB124" s="42"/>
      <c r="AC124" s="42"/>
      <c r="AD124" s="42"/>
      <c r="AE124" s="42"/>
      <c r="AF124" s="44"/>
      <c r="AG124" s="42"/>
      <c r="AH124" s="42"/>
      <c r="AI124" s="42"/>
      <c r="AJ124" s="42"/>
      <c r="AK124" s="42"/>
      <c r="AL124" s="44"/>
      <c r="AM124" s="42"/>
    </row>
    <row r="125" spans="1:39" s="41" customFormat="1" x14ac:dyDescent="0.25">
      <c r="A125" s="42">
        <f>'WBS chi tiết'!A125</f>
      </c>
      <c r="B125" s="42" t="s">
        <v>1021</v>
      </c>
      <c r="C125" s="42">
        <f>'WBS chi tiết'!F125</f>
      </c>
      <c r="D125" s="43">
        <f>'WBS chi tiết'!N125</f>
      </c>
      <c r="E125" s="43">
        <f>'WBS chi tiết'!O125</f>
      </c>
      <c r="F125" s="42"/>
      <c r="G125" s="42"/>
      <c r="H125" s="44"/>
      <c r="I125" s="42"/>
      <c r="J125" s="42"/>
      <c r="K125" s="42"/>
      <c r="L125" s="42"/>
      <c r="M125" s="42"/>
      <c r="N125" s="44"/>
      <c r="O125" s="42"/>
      <c r="P125" s="42"/>
      <c r="Q125" s="42"/>
      <c r="R125" s="42"/>
      <c r="S125" s="42"/>
      <c r="T125" s="44"/>
      <c r="U125" s="42"/>
      <c r="V125" s="42"/>
      <c r="W125" s="42"/>
      <c r="X125" s="42"/>
      <c r="Y125" s="42"/>
      <c r="Z125" s="44"/>
      <c r="AA125" s="42"/>
      <c r="AB125" s="42"/>
      <c r="AC125" s="42"/>
      <c r="AD125" s="42"/>
      <c r="AE125" s="42"/>
      <c r="AF125" s="44"/>
      <c r="AG125" s="42"/>
      <c r="AH125" s="42"/>
      <c r="AI125" s="42"/>
      <c r="AJ125" s="42"/>
      <c r="AK125" s="42"/>
      <c r="AL125" s="44"/>
      <c r="AM125" s="42"/>
    </row>
    <row r="126" spans="1:39" s="41" customFormat="1" x14ac:dyDescent="0.25">
      <c r="A126" s="42">
        <f>'WBS chi tiết'!A126</f>
      </c>
      <c r="B126" s="42" t="s">
        <v>790</v>
      </c>
      <c r="C126" s="42">
        <f>'WBS chi tiết'!F126</f>
      </c>
      <c r="D126" s="43">
        <f>'WBS chi tiết'!N126</f>
      </c>
      <c r="E126" s="43">
        <f>'WBS chi tiết'!O126</f>
      </c>
      <c r="F126" s="42"/>
      <c r="G126" s="42"/>
      <c r="H126" s="44"/>
      <c r="I126" s="42"/>
      <c r="J126" s="42"/>
      <c r="K126" s="42"/>
      <c r="L126" s="42"/>
      <c r="M126" s="42"/>
      <c r="N126" s="44"/>
      <c r="O126" s="42"/>
      <c r="P126" s="42"/>
      <c r="Q126" s="42"/>
      <c r="R126" s="42"/>
      <c r="S126" s="42"/>
      <c r="T126" s="44"/>
      <c r="U126" s="42"/>
      <c r="V126" s="42"/>
      <c r="W126" s="42"/>
      <c r="X126" s="42"/>
      <c r="Y126" s="42"/>
      <c r="Z126" s="44"/>
      <c r="AA126" s="42"/>
      <c r="AB126" s="42"/>
      <c r="AC126" s="42"/>
      <c r="AD126" s="42"/>
      <c r="AE126" s="42"/>
      <c r="AF126" s="44"/>
      <c r="AG126" s="42"/>
      <c r="AH126" s="42"/>
      <c r="AI126" s="42"/>
      <c r="AJ126" s="42"/>
      <c r="AK126" s="42"/>
      <c r="AL126" s="44"/>
      <c r="AM126" s="42"/>
    </row>
    <row r="127" spans="1:39" s="41" customFormat="1" x14ac:dyDescent="0.25">
      <c r="A127" s="42">
        <f>'WBS chi tiết'!A127</f>
      </c>
      <c r="B127" s="42" t="s">
        <v>1022</v>
      </c>
      <c r="C127" s="42">
        <f>'WBS chi tiết'!F127</f>
      </c>
      <c r="D127" s="43">
        <f>'WBS chi tiết'!N127</f>
      </c>
      <c r="E127" s="43">
        <f>'WBS chi tiết'!O127</f>
      </c>
      <c r="F127" s="42"/>
      <c r="G127" s="42"/>
      <c r="H127" s="44"/>
      <c r="I127" s="42"/>
      <c r="J127" s="42"/>
      <c r="K127" s="42"/>
      <c r="L127" s="42"/>
      <c r="M127" s="42"/>
      <c r="N127" s="44"/>
      <c r="O127" s="42"/>
      <c r="P127" s="42"/>
      <c r="Q127" s="42"/>
      <c r="R127" s="42"/>
      <c r="S127" s="42"/>
      <c r="T127" s="44"/>
      <c r="U127" s="42"/>
      <c r="V127" s="42"/>
      <c r="W127" s="42"/>
      <c r="X127" s="42"/>
      <c r="Y127" s="42"/>
      <c r="Z127" s="44"/>
      <c r="AA127" s="42"/>
      <c r="AB127" s="42"/>
      <c r="AC127" s="42"/>
      <c r="AD127" s="42"/>
      <c r="AE127" s="42"/>
      <c r="AF127" s="44"/>
      <c r="AG127" s="42"/>
      <c r="AH127" s="42"/>
      <c r="AI127" s="42"/>
      <c r="AJ127" s="42"/>
      <c r="AK127" s="42"/>
      <c r="AL127" s="44"/>
      <c r="AM127" s="42"/>
    </row>
    <row r="128" spans="1:39" s="41" customFormat="1" x14ac:dyDescent="0.25">
      <c r="A128" s="42">
        <f>'WBS chi tiết'!A128</f>
      </c>
      <c r="B128" s="42" t="s">
        <v>1023</v>
      </c>
      <c r="C128" s="42">
        <f>'WBS chi tiết'!F128</f>
      </c>
      <c r="D128" s="43">
        <f>'WBS chi tiết'!N128</f>
      </c>
      <c r="E128" s="43">
        <f>'WBS chi tiết'!O128</f>
      </c>
      <c r="F128" s="42"/>
      <c r="G128" s="42"/>
      <c r="H128" s="44"/>
      <c r="I128" s="42"/>
      <c r="J128" s="42"/>
      <c r="K128" s="42"/>
      <c r="L128" s="42"/>
      <c r="M128" s="42"/>
      <c r="N128" s="44"/>
      <c r="O128" s="42"/>
      <c r="P128" s="42"/>
      <c r="Q128" s="42"/>
      <c r="R128" s="42"/>
      <c r="S128" s="42"/>
      <c r="T128" s="44"/>
      <c r="U128" s="42"/>
      <c r="V128" s="42"/>
      <c r="W128" s="42"/>
      <c r="X128" s="42"/>
      <c r="Y128" s="42"/>
      <c r="Z128" s="44"/>
      <c r="AA128" s="42"/>
      <c r="AB128" s="42"/>
      <c r="AC128" s="42"/>
      <c r="AD128" s="42"/>
      <c r="AE128" s="42"/>
      <c r="AF128" s="44"/>
      <c r="AG128" s="42"/>
      <c r="AH128" s="42"/>
      <c r="AI128" s="42"/>
      <c r="AJ128" s="42"/>
      <c r="AK128" s="42"/>
      <c r="AL128" s="44"/>
      <c r="AM128" s="42"/>
    </row>
    <row r="129" spans="1:39" s="41" customFormat="1" x14ac:dyDescent="0.25">
      <c r="A129" s="42">
        <f>'WBS chi tiết'!A129</f>
      </c>
      <c r="B129" s="42" t="s">
        <v>796</v>
      </c>
      <c r="C129" s="42">
        <f>'WBS chi tiết'!F129</f>
      </c>
      <c r="D129" s="43">
        <f>'WBS chi tiết'!N129</f>
      </c>
      <c r="E129" s="43">
        <f>'WBS chi tiết'!O129</f>
      </c>
      <c r="F129" s="42"/>
      <c r="G129" s="42"/>
      <c r="H129" s="44"/>
      <c r="I129" s="42"/>
      <c r="J129" s="42"/>
      <c r="K129" s="42"/>
      <c r="L129" s="42"/>
      <c r="M129" s="42"/>
      <c r="N129" s="44"/>
      <c r="O129" s="42"/>
      <c r="P129" s="42"/>
      <c r="Q129" s="42"/>
      <c r="R129" s="42"/>
      <c r="S129" s="42"/>
      <c r="T129" s="44"/>
      <c r="U129" s="42"/>
      <c r="V129" s="42"/>
      <c r="W129" s="42"/>
      <c r="X129" s="42"/>
      <c r="Y129" s="42"/>
      <c r="Z129" s="44"/>
      <c r="AA129" s="42"/>
      <c r="AB129" s="42"/>
      <c r="AC129" s="42"/>
      <c r="AD129" s="42"/>
      <c r="AE129" s="42"/>
      <c r="AF129" s="44"/>
      <c r="AG129" s="42"/>
      <c r="AH129" s="42"/>
      <c r="AI129" s="42"/>
      <c r="AJ129" s="42"/>
      <c r="AK129" s="42"/>
      <c r="AL129" s="44"/>
      <c r="AM129" s="42"/>
    </row>
    <row r="130" spans="1:39" s="41" customFormat="1" x14ac:dyDescent="0.25">
      <c r="A130" s="42">
        <f>'WBS chi tiết'!A130</f>
      </c>
      <c r="B130" s="42" t="s">
        <v>1024</v>
      </c>
      <c r="C130" s="42">
        <f>'WBS chi tiết'!F130</f>
      </c>
      <c r="D130" s="43">
        <f>'WBS chi tiết'!N130</f>
      </c>
      <c r="E130" s="43">
        <f>'WBS chi tiết'!O130</f>
      </c>
      <c r="F130" s="42"/>
      <c r="G130" s="42"/>
      <c r="H130" s="44"/>
      <c r="I130" s="42"/>
      <c r="J130" s="42"/>
      <c r="K130" s="42"/>
      <c r="L130" s="42"/>
      <c r="M130" s="42"/>
      <c r="N130" s="44"/>
      <c r="O130" s="42"/>
      <c r="P130" s="42"/>
      <c r="Q130" s="42"/>
      <c r="R130" s="42"/>
      <c r="S130" s="42"/>
      <c r="T130" s="44"/>
      <c r="U130" s="42"/>
      <c r="V130" s="42"/>
      <c r="W130" s="42"/>
      <c r="X130" s="42"/>
      <c r="Y130" s="42"/>
      <c r="Z130" s="44"/>
      <c r="AA130" s="42"/>
      <c r="AB130" s="42"/>
      <c r="AC130" s="42"/>
      <c r="AD130" s="42"/>
      <c r="AE130" s="42"/>
      <c r="AF130" s="44"/>
      <c r="AG130" s="42"/>
      <c r="AH130" s="42"/>
      <c r="AI130" s="42"/>
      <c r="AJ130" s="42"/>
      <c r="AK130" s="42"/>
      <c r="AL130" s="44"/>
      <c r="AM130" s="42"/>
    </row>
    <row r="131" spans="1:39" s="41" customFormat="1" x14ac:dyDescent="0.25">
      <c r="A131" s="42">
        <f>'WBS chi tiết'!A131</f>
      </c>
      <c r="B131" s="42" t="s">
        <v>808</v>
      </c>
      <c r="C131" s="42">
        <f>'WBS chi tiết'!F131</f>
      </c>
      <c r="D131" s="43">
        <f>'WBS chi tiết'!N131</f>
      </c>
      <c r="E131" s="43">
        <f>'WBS chi tiết'!O131</f>
      </c>
      <c r="F131" s="42"/>
      <c r="G131" s="42"/>
      <c r="H131" s="44"/>
      <c r="I131" s="42"/>
      <c r="J131" s="42"/>
      <c r="K131" s="42"/>
      <c r="L131" s="42"/>
      <c r="M131" s="42"/>
      <c r="N131" s="44"/>
      <c r="O131" s="42"/>
      <c r="P131" s="42"/>
      <c r="Q131" s="42"/>
      <c r="R131" s="42"/>
      <c r="S131" s="42"/>
      <c r="T131" s="44"/>
      <c r="U131" s="42"/>
      <c r="V131" s="42"/>
      <c r="W131" s="42"/>
      <c r="X131" s="42"/>
      <c r="Y131" s="42"/>
      <c r="Z131" s="44"/>
      <c r="AA131" s="42"/>
      <c r="AB131" s="42"/>
      <c r="AC131" s="42"/>
      <c r="AD131" s="42"/>
      <c r="AE131" s="42"/>
      <c r="AF131" s="44"/>
      <c r="AG131" s="42"/>
      <c r="AH131" s="42"/>
      <c r="AI131" s="42"/>
      <c r="AJ131" s="42"/>
      <c r="AK131" s="42"/>
      <c r="AL131" s="44"/>
      <c r="AM131" s="42"/>
    </row>
    <row r="132" spans="1:39" s="41" customFormat="1" x14ac:dyDescent="0.25">
      <c r="A132" s="42">
        <f>'WBS chi tiết'!A132</f>
      </c>
      <c r="B132" s="42" t="s">
        <v>1025</v>
      </c>
      <c r="C132" s="42">
        <f>'WBS chi tiết'!F132</f>
      </c>
      <c r="D132" s="43">
        <f>'WBS chi tiết'!N132</f>
      </c>
      <c r="E132" s="43">
        <f>'WBS chi tiết'!O132</f>
      </c>
      <c r="F132" s="42"/>
      <c r="G132" s="42"/>
      <c r="H132" s="44"/>
      <c r="I132" s="42"/>
      <c r="J132" s="42"/>
      <c r="K132" s="42"/>
      <c r="L132" s="42"/>
      <c r="M132" s="42"/>
      <c r="N132" s="44"/>
      <c r="O132" s="42"/>
      <c r="P132" s="42"/>
      <c r="Q132" s="42"/>
      <c r="R132" s="42"/>
      <c r="S132" s="42"/>
      <c r="T132" s="44"/>
      <c r="U132" s="42"/>
      <c r="V132" s="42"/>
      <c r="W132" s="42"/>
      <c r="X132" s="42"/>
      <c r="Y132" s="42"/>
      <c r="Z132" s="44"/>
      <c r="AA132" s="42"/>
      <c r="AB132" s="42"/>
      <c r="AC132" s="42"/>
      <c r="AD132" s="42"/>
      <c r="AE132" s="42"/>
      <c r="AF132" s="44"/>
      <c r="AG132" s="42"/>
      <c r="AH132" s="42"/>
      <c r="AI132" s="42"/>
      <c r="AJ132" s="42"/>
      <c r="AK132" s="42"/>
      <c r="AL132" s="44"/>
      <c r="AM132" s="42"/>
    </row>
    <row r="133" spans="1:39" s="41" customFormat="1" x14ac:dyDescent="0.25">
      <c r="A133" s="42">
        <f>'WBS chi tiết'!A133</f>
      </c>
      <c r="B133" s="42" t="s">
        <v>817</v>
      </c>
      <c r="C133" s="42">
        <f>'WBS chi tiết'!F133</f>
      </c>
      <c r="D133" s="43">
        <f>'WBS chi tiết'!N133</f>
      </c>
      <c r="E133" s="43">
        <f>'WBS chi tiết'!O133</f>
      </c>
      <c r="F133" s="42"/>
      <c r="G133" s="42"/>
      <c r="H133" s="44"/>
      <c r="I133" s="42"/>
      <c r="J133" s="42"/>
      <c r="K133" s="42"/>
      <c r="L133" s="42"/>
      <c r="M133" s="42"/>
      <c r="N133" s="44"/>
      <c r="O133" s="42"/>
      <c r="P133" s="42"/>
      <c r="Q133" s="42"/>
      <c r="R133" s="42"/>
      <c r="S133" s="42"/>
      <c r="T133" s="44"/>
      <c r="U133" s="42"/>
      <c r="V133" s="42"/>
      <c r="W133" s="42"/>
      <c r="X133" s="42"/>
      <c r="Y133" s="42"/>
      <c r="Z133" s="44"/>
      <c r="AA133" s="42"/>
      <c r="AB133" s="42"/>
      <c r="AC133" s="42"/>
      <c r="AD133" s="42"/>
      <c r="AE133" s="42"/>
      <c r="AF133" s="44"/>
      <c r="AG133" s="42"/>
      <c r="AH133" s="42"/>
      <c r="AI133" s="42"/>
      <c r="AJ133" s="42"/>
      <c r="AK133" s="42"/>
      <c r="AL133" s="44"/>
      <c r="AM133" s="42"/>
    </row>
    <row r="134" spans="1:39" s="41" customFormat="1" x14ac:dyDescent="0.25">
      <c r="A134" s="42">
        <f>'WBS chi tiết'!A134</f>
      </c>
      <c r="B134" s="42" t="s">
        <v>818</v>
      </c>
      <c r="C134" s="42">
        <f>'WBS chi tiết'!F134</f>
      </c>
      <c r="D134" s="43">
        <f>'WBS chi tiết'!N134</f>
      </c>
      <c r="E134" s="43">
        <f>'WBS chi tiết'!O134</f>
      </c>
      <c r="F134" s="42"/>
      <c r="G134" s="42"/>
      <c r="H134" s="44"/>
      <c r="I134" s="42"/>
      <c r="J134" s="42"/>
      <c r="K134" s="42"/>
      <c r="L134" s="42"/>
      <c r="M134" s="42"/>
      <c r="N134" s="44"/>
      <c r="O134" s="42"/>
      <c r="P134" s="42"/>
      <c r="Q134" s="42"/>
      <c r="R134" s="42"/>
      <c r="S134" s="42"/>
      <c r="T134" s="44"/>
      <c r="U134" s="42"/>
      <c r="V134" s="42"/>
      <c r="W134" s="42"/>
      <c r="X134" s="42"/>
      <c r="Y134" s="42"/>
      <c r="Z134" s="44"/>
      <c r="AA134" s="42"/>
      <c r="AB134" s="42"/>
      <c r="AC134" s="42"/>
      <c r="AD134" s="42"/>
      <c r="AE134" s="42"/>
      <c r="AF134" s="44"/>
      <c r="AG134" s="42"/>
      <c r="AH134" s="42"/>
      <c r="AI134" s="42"/>
      <c r="AJ134" s="42"/>
      <c r="AK134" s="42"/>
      <c r="AL134" s="44"/>
      <c r="AM134" s="42"/>
    </row>
    <row r="135" spans="1:39" s="41" customFormat="1" x14ac:dyDescent="0.25">
      <c r="A135" s="42">
        <f>'WBS chi tiết'!A135</f>
      </c>
      <c r="B135" s="42" t="s">
        <v>820</v>
      </c>
      <c r="C135" s="42">
        <f>'WBS chi tiết'!F135</f>
      </c>
      <c r="D135" s="43">
        <f>'WBS chi tiết'!N135</f>
      </c>
      <c r="E135" s="43">
        <f>'WBS chi tiết'!O135</f>
      </c>
      <c r="F135" s="42"/>
      <c r="G135" s="42"/>
      <c r="H135" s="44"/>
      <c r="I135" s="42"/>
      <c r="J135" s="42"/>
      <c r="K135" s="42"/>
      <c r="L135" s="42"/>
      <c r="M135" s="42"/>
      <c r="N135" s="44"/>
      <c r="O135" s="42"/>
      <c r="P135" s="42"/>
      <c r="Q135" s="42"/>
      <c r="R135" s="42"/>
      <c r="S135" s="42"/>
      <c r="T135" s="44"/>
      <c r="U135" s="42"/>
      <c r="V135" s="42"/>
      <c r="W135" s="42"/>
      <c r="X135" s="42"/>
      <c r="Y135" s="42"/>
      <c r="Z135" s="44"/>
      <c r="AA135" s="42"/>
      <c r="AB135" s="42"/>
      <c r="AC135" s="42"/>
      <c r="AD135" s="42"/>
      <c r="AE135" s="42"/>
      <c r="AF135" s="44"/>
      <c r="AG135" s="42"/>
      <c r="AH135" s="42"/>
      <c r="AI135" s="42"/>
      <c r="AJ135" s="42"/>
      <c r="AK135" s="42"/>
      <c r="AL135" s="44"/>
      <c r="AM135" s="42"/>
    </row>
    <row r="136" spans="1:39" s="41" customFormat="1" x14ac:dyDescent="0.25">
      <c r="A136" s="42">
        <f>'WBS chi tiết'!A136</f>
      </c>
      <c r="B136" s="42" t="s">
        <v>824</v>
      </c>
      <c r="C136" s="42">
        <f>'WBS chi tiết'!F136</f>
      </c>
      <c r="D136" s="43">
        <f>'WBS chi tiết'!N136</f>
      </c>
      <c r="E136" s="43">
        <f>'WBS chi tiết'!O136</f>
      </c>
      <c r="F136" s="42"/>
      <c r="G136" s="42"/>
      <c r="H136" s="44"/>
      <c r="I136" s="42"/>
      <c r="J136" s="42"/>
      <c r="K136" s="42"/>
      <c r="L136" s="42"/>
      <c r="M136" s="42"/>
      <c r="N136" s="44"/>
      <c r="O136" s="42"/>
      <c r="P136" s="42"/>
      <c r="Q136" s="42"/>
      <c r="R136" s="42"/>
      <c r="S136" s="42"/>
      <c r="T136" s="44"/>
      <c r="U136" s="42"/>
      <c r="V136" s="42"/>
      <c r="W136" s="42"/>
      <c r="X136" s="42"/>
      <c r="Y136" s="42"/>
      <c r="Z136" s="44"/>
      <c r="AA136" s="42"/>
      <c r="AB136" s="42"/>
      <c r="AC136" s="42"/>
      <c r="AD136" s="42"/>
      <c r="AE136" s="42"/>
      <c r="AF136" s="44"/>
      <c r="AG136" s="42"/>
      <c r="AH136" s="42"/>
      <c r="AI136" s="42"/>
      <c r="AJ136" s="42"/>
      <c r="AK136" s="42"/>
      <c r="AL136" s="44"/>
      <c r="AM136" s="42"/>
    </row>
    <row r="137" spans="1:39" s="41" customFormat="1" x14ac:dyDescent="0.25">
      <c r="A137" s="42">
        <f>'WBS chi tiết'!A137</f>
      </c>
      <c r="B137" s="42" t="s">
        <v>1026</v>
      </c>
      <c r="C137" s="42">
        <f>'WBS chi tiết'!F137</f>
      </c>
      <c r="D137" s="43">
        <f>'WBS chi tiết'!N137</f>
      </c>
      <c r="E137" s="43">
        <f>'WBS chi tiết'!O137</f>
      </c>
      <c r="F137" s="42"/>
      <c r="G137" s="42"/>
      <c r="H137" s="44"/>
      <c r="I137" s="42"/>
      <c r="J137" s="42"/>
      <c r="K137" s="42"/>
      <c r="L137" s="42"/>
      <c r="M137" s="42"/>
      <c r="N137" s="44"/>
      <c r="O137" s="42"/>
      <c r="P137" s="42"/>
      <c r="Q137" s="42"/>
      <c r="R137" s="42"/>
      <c r="S137" s="42"/>
      <c r="T137" s="44"/>
      <c r="U137" s="42"/>
      <c r="V137" s="42"/>
      <c r="W137" s="42"/>
      <c r="X137" s="42"/>
      <c r="Y137" s="42"/>
      <c r="Z137" s="44"/>
      <c r="AA137" s="42"/>
      <c r="AB137" s="42"/>
      <c r="AC137" s="42"/>
      <c r="AD137" s="42"/>
      <c r="AE137" s="42"/>
      <c r="AF137" s="44"/>
      <c r="AG137" s="42"/>
      <c r="AH137" s="42"/>
      <c r="AI137" s="42"/>
      <c r="AJ137" s="42"/>
      <c r="AK137" s="42"/>
      <c r="AL137" s="44"/>
      <c r="AM137" s="42"/>
    </row>
    <row r="138" spans="1:39" s="41" customFormat="1" x14ac:dyDescent="0.25">
      <c r="A138" s="42">
        <f>'WBS chi tiết'!A138</f>
      </c>
      <c r="B138" s="42" t="s">
        <v>1027</v>
      </c>
      <c r="C138" s="42">
        <f>'WBS chi tiết'!F138</f>
      </c>
      <c r="D138" s="43">
        <f>'WBS chi tiết'!N138</f>
      </c>
      <c r="E138" s="43">
        <f>'WBS chi tiết'!O138</f>
      </c>
      <c r="F138" s="42"/>
      <c r="G138" s="42"/>
      <c r="H138" s="44"/>
      <c r="I138" s="42"/>
      <c r="J138" s="42"/>
      <c r="K138" s="42"/>
      <c r="L138" s="42"/>
      <c r="M138" s="42"/>
      <c r="N138" s="44"/>
      <c r="O138" s="42"/>
      <c r="P138" s="42"/>
      <c r="Q138" s="42"/>
      <c r="R138" s="42"/>
      <c r="S138" s="42"/>
      <c r="T138" s="44"/>
      <c r="U138" s="42"/>
      <c r="V138" s="42"/>
      <c r="W138" s="42"/>
      <c r="X138" s="42"/>
      <c r="Y138" s="42"/>
      <c r="Z138" s="44"/>
      <c r="AA138" s="42"/>
      <c r="AB138" s="42"/>
      <c r="AC138" s="42"/>
      <c r="AD138" s="42"/>
      <c r="AE138" s="42"/>
      <c r="AF138" s="44"/>
      <c r="AG138" s="42"/>
      <c r="AH138" s="42"/>
      <c r="AI138" s="42"/>
      <c r="AJ138" s="42"/>
      <c r="AK138" s="42"/>
      <c r="AL138" s="44"/>
      <c r="AM138" s="42"/>
    </row>
    <row r="139" spans="1:39" s="41" customFormat="1" x14ac:dyDescent="0.25">
      <c r="A139" s="42">
        <f>'WBS chi tiết'!A139</f>
      </c>
      <c r="B139" s="42" t="s">
        <v>1028</v>
      </c>
      <c r="C139" s="42">
        <f>'WBS chi tiết'!F139</f>
      </c>
      <c r="D139" s="43">
        <f>'WBS chi tiết'!N139</f>
      </c>
      <c r="E139" s="43">
        <f>'WBS chi tiết'!O139</f>
      </c>
      <c r="F139" s="42"/>
      <c r="G139" s="42"/>
      <c r="H139" s="44"/>
      <c r="I139" s="42"/>
      <c r="J139" s="42"/>
      <c r="K139" s="42"/>
      <c r="L139" s="42"/>
      <c r="M139" s="42"/>
      <c r="N139" s="44"/>
      <c r="O139" s="42"/>
      <c r="P139" s="42"/>
      <c r="Q139" s="42"/>
      <c r="R139" s="42"/>
      <c r="S139" s="42"/>
      <c r="T139" s="44"/>
      <c r="U139" s="42"/>
      <c r="V139" s="42"/>
      <c r="W139" s="42"/>
      <c r="X139" s="42"/>
      <c r="Y139" s="42"/>
      <c r="Z139" s="44"/>
      <c r="AA139" s="42"/>
      <c r="AB139" s="42"/>
      <c r="AC139" s="42"/>
      <c r="AD139" s="42"/>
      <c r="AE139" s="42"/>
      <c r="AF139" s="44"/>
      <c r="AG139" s="42"/>
      <c r="AH139" s="42"/>
      <c r="AI139" s="42"/>
      <c r="AJ139" s="42"/>
      <c r="AK139" s="42"/>
      <c r="AL139" s="44"/>
      <c r="AM139" s="42"/>
    </row>
    <row r="140" spans="1:39" s="41" customFormat="1" x14ac:dyDescent="0.25">
      <c r="A140" s="42">
        <f>'WBS chi tiết'!A140</f>
      </c>
      <c r="B140" s="42" t="s">
        <v>1029</v>
      </c>
      <c r="C140" s="42">
        <f>'WBS chi tiết'!F140</f>
      </c>
      <c r="D140" s="43">
        <f>'WBS chi tiết'!N140</f>
      </c>
      <c r="E140" s="43">
        <f>'WBS chi tiết'!O140</f>
      </c>
      <c r="F140" s="42"/>
      <c r="G140" s="42"/>
      <c r="H140" s="44"/>
      <c r="I140" s="42"/>
      <c r="J140" s="42"/>
      <c r="K140" s="42"/>
      <c r="L140" s="42"/>
      <c r="M140" s="42"/>
      <c r="N140" s="44"/>
      <c r="O140" s="42"/>
      <c r="P140" s="42"/>
      <c r="Q140" s="42"/>
      <c r="R140" s="42"/>
      <c r="S140" s="42"/>
      <c r="T140" s="44"/>
      <c r="U140" s="42"/>
      <c r="V140" s="42"/>
      <c r="W140" s="42"/>
      <c r="X140" s="42"/>
      <c r="Y140" s="42"/>
      <c r="Z140" s="44"/>
      <c r="AA140" s="42"/>
      <c r="AB140" s="42"/>
      <c r="AC140" s="42"/>
      <c r="AD140" s="42"/>
      <c r="AE140" s="42"/>
      <c r="AF140" s="44"/>
      <c r="AG140" s="42"/>
      <c r="AH140" s="42"/>
      <c r="AI140" s="42"/>
      <c r="AJ140" s="42"/>
      <c r="AK140" s="42"/>
      <c r="AL140" s="44"/>
      <c r="AM140" s="42"/>
    </row>
    <row r="141" spans="1:39" s="41" customFormat="1" x14ac:dyDescent="0.25">
      <c r="A141" s="42">
        <f>'WBS chi tiết'!A141</f>
      </c>
      <c r="B141" s="42" t="s">
        <v>1030</v>
      </c>
      <c r="C141" s="42">
        <f>'WBS chi tiết'!F141</f>
      </c>
      <c r="D141" s="43">
        <f>'WBS chi tiết'!N141</f>
      </c>
      <c r="E141" s="43">
        <f>'WBS chi tiết'!O141</f>
      </c>
      <c r="F141" s="42"/>
      <c r="G141" s="42"/>
      <c r="H141" s="44"/>
      <c r="I141" s="42"/>
      <c r="J141" s="42"/>
      <c r="K141" s="42"/>
      <c r="L141" s="42"/>
      <c r="M141" s="42"/>
      <c r="N141" s="44"/>
      <c r="O141" s="42"/>
      <c r="P141" s="42"/>
      <c r="Q141" s="42"/>
      <c r="R141" s="42"/>
      <c r="S141" s="42"/>
      <c r="T141" s="44"/>
      <c r="U141" s="42"/>
      <c r="V141" s="42"/>
      <c r="W141" s="42"/>
      <c r="X141" s="42"/>
      <c r="Y141" s="42"/>
      <c r="Z141" s="44"/>
      <c r="AA141" s="42"/>
      <c r="AB141" s="42"/>
      <c r="AC141" s="42"/>
      <c r="AD141" s="42"/>
      <c r="AE141" s="42"/>
      <c r="AF141" s="44"/>
      <c r="AG141" s="42"/>
      <c r="AH141" s="42"/>
      <c r="AI141" s="42"/>
      <c r="AJ141" s="42"/>
      <c r="AK141" s="42"/>
      <c r="AL141" s="44"/>
      <c r="AM141" s="42"/>
    </row>
    <row r="142" spans="1:39" s="41" customFormat="1" x14ac:dyDescent="0.25">
      <c r="A142" s="42">
        <f>'WBS chi tiết'!A142</f>
      </c>
      <c r="B142" s="42" t="s">
        <v>1031</v>
      </c>
      <c r="C142" s="42">
        <f>'WBS chi tiết'!F142</f>
      </c>
      <c r="D142" s="43">
        <f>'WBS chi tiết'!N142</f>
      </c>
      <c r="E142" s="43">
        <f>'WBS chi tiết'!O142</f>
      </c>
      <c r="F142" s="42"/>
      <c r="G142" s="42"/>
      <c r="H142" s="44"/>
      <c r="I142" s="42"/>
      <c r="J142" s="42"/>
      <c r="K142" s="42"/>
      <c r="L142" s="42"/>
      <c r="M142" s="42"/>
      <c r="N142" s="44"/>
      <c r="O142" s="42"/>
      <c r="P142" s="42"/>
      <c r="Q142" s="42"/>
      <c r="R142" s="42"/>
      <c r="S142" s="42"/>
      <c r="T142" s="44"/>
      <c r="U142" s="42"/>
      <c r="V142" s="42"/>
      <c r="W142" s="42"/>
      <c r="X142" s="42"/>
      <c r="Y142" s="42"/>
      <c r="Z142" s="44"/>
      <c r="AA142" s="42"/>
      <c r="AB142" s="42"/>
      <c r="AC142" s="42"/>
      <c r="AD142" s="42"/>
      <c r="AE142" s="42"/>
      <c r="AF142" s="44"/>
      <c r="AG142" s="42"/>
      <c r="AH142" s="42"/>
      <c r="AI142" s="42"/>
      <c r="AJ142" s="42"/>
      <c r="AK142" s="42"/>
      <c r="AL142" s="44"/>
      <c r="AM142" s="42"/>
    </row>
    <row r="143" spans="1:39" s="41" customFormat="1" x14ac:dyDescent="0.25">
      <c r="A143" s="42">
        <f>'WBS chi tiết'!A143</f>
      </c>
      <c r="B143" s="42" t="s">
        <v>835</v>
      </c>
      <c r="C143" s="42">
        <f>'WBS chi tiết'!F143</f>
      </c>
      <c r="D143" s="43">
        <f>'WBS chi tiết'!N143</f>
      </c>
      <c r="E143" s="43">
        <f>'WBS chi tiết'!O143</f>
      </c>
      <c r="F143" s="42"/>
      <c r="G143" s="42"/>
      <c r="H143" s="44"/>
      <c r="I143" s="42"/>
      <c r="J143" s="42"/>
      <c r="K143" s="42"/>
      <c r="L143" s="42"/>
      <c r="M143" s="42"/>
      <c r="N143" s="44"/>
      <c r="O143" s="42"/>
      <c r="P143" s="42"/>
      <c r="Q143" s="42"/>
      <c r="R143" s="42"/>
      <c r="S143" s="42"/>
      <c r="T143" s="44"/>
      <c r="U143" s="42"/>
      <c r="V143" s="42"/>
      <c r="W143" s="42"/>
      <c r="X143" s="42"/>
      <c r="Y143" s="42"/>
      <c r="Z143" s="44"/>
      <c r="AA143" s="42"/>
      <c r="AB143" s="42"/>
      <c r="AC143" s="42"/>
      <c r="AD143" s="42"/>
      <c r="AE143" s="42"/>
      <c r="AF143" s="44"/>
      <c r="AG143" s="42"/>
      <c r="AH143" s="42"/>
      <c r="AI143" s="42"/>
      <c r="AJ143" s="42"/>
      <c r="AK143" s="42"/>
      <c r="AL143" s="44"/>
      <c r="AM143" s="42"/>
    </row>
    <row r="144" spans="1:39" s="41" customFormat="1" x14ac:dyDescent="0.25">
      <c r="A144" s="42">
        <f>'WBS chi tiết'!A144</f>
      </c>
      <c r="B144" s="42" t="s">
        <v>1032</v>
      </c>
      <c r="C144" s="42">
        <f>'WBS chi tiết'!F144</f>
      </c>
      <c r="D144" s="43">
        <f>'WBS chi tiết'!N144</f>
      </c>
      <c r="E144" s="43">
        <f>'WBS chi tiết'!O144</f>
      </c>
      <c r="F144" s="42"/>
      <c r="G144" s="42"/>
      <c r="H144" s="44"/>
      <c r="I144" s="42"/>
      <c r="J144" s="42"/>
      <c r="K144" s="42"/>
      <c r="L144" s="42"/>
      <c r="M144" s="42"/>
      <c r="N144" s="44"/>
      <c r="O144" s="42"/>
      <c r="P144" s="42"/>
      <c r="Q144" s="42"/>
      <c r="R144" s="42"/>
      <c r="S144" s="42"/>
      <c r="T144" s="44"/>
      <c r="U144" s="42"/>
      <c r="V144" s="42"/>
      <c r="W144" s="42"/>
      <c r="X144" s="42"/>
      <c r="Y144" s="42"/>
      <c r="Z144" s="44"/>
      <c r="AA144" s="42"/>
      <c r="AB144" s="42"/>
      <c r="AC144" s="42"/>
      <c r="AD144" s="42"/>
      <c r="AE144" s="42"/>
      <c r="AF144" s="44"/>
      <c r="AG144" s="42"/>
      <c r="AH144" s="42"/>
      <c r="AI144" s="42"/>
      <c r="AJ144" s="42"/>
      <c r="AK144" s="42"/>
      <c r="AL144" s="44"/>
      <c r="AM144" s="42"/>
    </row>
    <row r="145" spans="1:39" s="41" customFormat="1" x14ac:dyDescent="0.25">
      <c r="A145" s="42">
        <f>'WBS chi tiết'!A145</f>
      </c>
      <c r="B145" s="42" t="s">
        <v>1033</v>
      </c>
      <c r="C145" s="42">
        <f>'WBS chi tiết'!F145</f>
      </c>
      <c r="D145" s="43">
        <f>'WBS chi tiết'!N145</f>
      </c>
      <c r="E145" s="43">
        <f>'WBS chi tiết'!O145</f>
      </c>
      <c r="F145" s="42"/>
      <c r="G145" s="42"/>
      <c r="H145" s="44"/>
      <c r="I145" s="42"/>
      <c r="J145" s="42"/>
      <c r="K145" s="42"/>
      <c r="L145" s="42"/>
      <c r="M145" s="42"/>
      <c r="N145" s="44"/>
      <c r="O145" s="42"/>
      <c r="P145" s="42"/>
      <c r="Q145" s="42"/>
      <c r="R145" s="42"/>
      <c r="S145" s="42"/>
      <c r="T145" s="44"/>
      <c r="U145" s="42"/>
      <c r="V145" s="42"/>
      <c r="W145" s="42"/>
      <c r="X145" s="42"/>
      <c r="Y145" s="42"/>
      <c r="Z145" s="44"/>
      <c r="AA145" s="42"/>
      <c r="AB145" s="42"/>
      <c r="AC145" s="42"/>
      <c r="AD145" s="42"/>
      <c r="AE145" s="42"/>
      <c r="AF145" s="44"/>
      <c r="AG145" s="42"/>
      <c r="AH145" s="42"/>
      <c r="AI145" s="42"/>
      <c r="AJ145" s="42"/>
      <c r="AK145" s="42"/>
      <c r="AL145" s="44"/>
      <c r="AM145" s="42"/>
    </row>
    <row r="146" spans="1:39" s="41" customFormat="1" x14ac:dyDescent="0.25">
      <c r="A146" s="42">
        <f>'WBS chi tiết'!A146</f>
      </c>
      <c r="B146" s="42" t="s">
        <v>1034</v>
      </c>
      <c r="C146" s="42">
        <f>'WBS chi tiết'!F146</f>
      </c>
      <c r="D146" s="43">
        <f>'WBS chi tiết'!N146</f>
      </c>
      <c r="E146" s="43">
        <f>'WBS chi tiết'!O146</f>
      </c>
      <c r="F146" s="42"/>
      <c r="G146" s="42"/>
      <c r="H146" s="44"/>
      <c r="I146" s="42"/>
      <c r="J146" s="42"/>
      <c r="K146" s="42"/>
      <c r="L146" s="42"/>
      <c r="M146" s="42"/>
      <c r="N146" s="44"/>
      <c r="O146" s="42"/>
      <c r="P146" s="42"/>
      <c r="Q146" s="42"/>
      <c r="R146" s="42"/>
      <c r="S146" s="42"/>
      <c r="T146" s="44"/>
      <c r="U146" s="42"/>
      <c r="V146" s="42"/>
      <c r="W146" s="42"/>
      <c r="X146" s="42"/>
      <c r="Y146" s="42"/>
      <c r="Z146" s="44"/>
      <c r="AA146" s="42"/>
      <c r="AB146" s="42"/>
      <c r="AC146" s="42"/>
      <c r="AD146" s="42"/>
      <c r="AE146" s="42"/>
      <c r="AF146" s="44"/>
      <c r="AG146" s="42"/>
      <c r="AH146" s="42"/>
      <c r="AI146" s="42"/>
      <c r="AJ146" s="42"/>
      <c r="AK146" s="42"/>
      <c r="AL146" s="44"/>
      <c r="AM146" s="42"/>
    </row>
    <row r="147" spans="1:39" s="41" customFormat="1" x14ac:dyDescent="0.25">
      <c r="A147" s="42">
        <f>'WBS chi tiết'!A147</f>
      </c>
      <c r="B147" s="42" t="s">
        <v>1035</v>
      </c>
      <c r="C147" s="42">
        <f>'WBS chi tiết'!F147</f>
      </c>
      <c r="D147" s="43">
        <f>'WBS chi tiết'!N147</f>
      </c>
      <c r="E147" s="43">
        <f>'WBS chi tiết'!O147</f>
      </c>
      <c r="F147" s="42"/>
      <c r="G147" s="42"/>
      <c r="H147" s="44"/>
      <c r="I147" s="42"/>
      <c r="J147" s="42"/>
      <c r="K147" s="42"/>
      <c r="L147" s="42"/>
      <c r="M147" s="42"/>
      <c r="N147" s="44"/>
      <c r="O147" s="42"/>
      <c r="P147" s="42"/>
      <c r="Q147" s="42"/>
      <c r="R147" s="42"/>
      <c r="S147" s="42"/>
      <c r="T147" s="44"/>
      <c r="U147" s="42"/>
      <c r="V147" s="42"/>
      <c r="W147" s="42"/>
      <c r="X147" s="42"/>
      <c r="Y147" s="42"/>
      <c r="Z147" s="44"/>
      <c r="AA147" s="42"/>
      <c r="AB147" s="42"/>
      <c r="AC147" s="42"/>
      <c r="AD147" s="42"/>
      <c r="AE147" s="42"/>
      <c r="AF147" s="44"/>
      <c r="AG147" s="42"/>
      <c r="AH147" s="42"/>
      <c r="AI147" s="42"/>
      <c r="AJ147" s="42"/>
      <c r="AK147" s="42"/>
      <c r="AL147" s="44"/>
      <c r="AM147" s="42"/>
    </row>
    <row r="148" spans="1:39" s="41" customFormat="1" x14ac:dyDescent="0.25">
      <c r="A148" s="42">
        <f>'WBS chi tiết'!A148</f>
      </c>
      <c r="B148" s="42" t="s">
        <v>1036</v>
      </c>
      <c r="C148" s="42">
        <f>'WBS chi tiết'!F148</f>
      </c>
      <c r="D148" s="43">
        <f>'WBS chi tiết'!N148</f>
      </c>
      <c r="E148" s="43">
        <f>'WBS chi tiết'!O148</f>
      </c>
      <c r="F148" s="42"/>
      <c r="G148" s="42"/>
      <c r="H148" s="44"/>
      <c r="I148" s="42"/>
      <c r="J148" s="42"/>
      <c r="K148" s="42"/>
      <c r="L148" s="42"/>
      <c r="M148" s="42"/>
      <c r="N148" s="44"/>
      <c r="O148" s="42"/>
      <c r="P148" s="42"/>
      <c r="Q148" s="42"/>
      <c r="R148" s="42"/>
      <c r="S148" s="42"/>
      <c r="T148" s="44"/>
      <c r="U148" s="42"/>
      <c r="V148" s="42"/>
      <c r="W148" s="42"/>
      <c r="X148" s="42"/>
      <c r="Y148" s="42"/>
      <c r="Z148" s="44"/>
      <c r="AA148" s="42"/>
      <c r="AB148" s="42"/>
      <c r="AC148" s="42"/>
      <c r="AD148" s="42"/>
      <c r="AE148" s="42"/>
      <c r="AF148" s="44"/>
      <c r="AG148" s="42"/>
      <c r="AH148" s="42"/>
      <c r="AI148" s="42"/>
      <c r="AJ148" s="42"/>
      <c r="AK148" s="42"/>
      <c r="AL148" s="44"/>
      <c r="AM148" s="42"/>
    </row>
    <row r="149" spans="1:39" s="41" customFormat="1" x14ac:dyDescent="0.25">
      <c r="A149" s="42">
        <f>'WBS chi tiết'!A149</f>
      </c>
      <c r="B149" s="42" t="s">
        <v>1037</v>
      </c>
      <c r="C149" s="42">
        <f>'WBS chi tiết'!F149</f>
      </c>
      <c r="D149" s="43">
        <f>'WBS chi tiết'!N149</f>
      </c>
      <c r="E149" s="43">
        <f>'WBS chi tiết'!O149</f>
      </c>
      <c r="F149" s="42"/>
      <c r="G149" s="42"/>
      <c r="H149" s="44"/>
      <c r="I149" s="42"/>
      <c r="J149" s="42"/>
      <c r="K149" s="42"/>
      <c r="L149" s="42"/>
      <c r="M149" s="42"/>
      <c r="N149" s="44"/>
      <c r="O149" s="42"/>
      <c r="P149" s="42"/>
      <c r="Q149" s="42"/>
      <c r="R149" s="42"/>
      <c r="S149" s="42"/>
      <c r="T149" s="44"/>
      <c r="U149" s="42"/>
      <c r="V149" s="42"/>
      <c r="W149" s="42"/>
      <c r="X149" s="42"/>
      <c r="Y149" s="42"/>
      <c r="Z149" s="44"/>
      <c r="AA149" s="42"/>
      <c r="AB149" s="42"/>
      <c r="AC149" s="42"/>
      <c r="AD149" s="42"/>
      <c r="AE149" s="42"/>
      <c r="AF149" s="44"/>
      <c r="AG149" s="42"/>
      <c r="AH149" s="42"/>
      <c r="AI149" s="42"/>
      <c r="AJ149" s="42"/>
      <c r="AK149" s="42"/>
      <c r="AL149" s="44"/>
      <c r="AM149" s="42"/>
    </row>
    <row r="150" spans="1:39" s="41" customFormat="1" x14ac:dyDescent="0.25">
      <c r="A150" s="42">
        <f>'WBS chi tiết'!A150</f>
      </c>
      <c r="B150" s="42" t="s">
        <v>1038</v>
      </c>
      <c r="C150" s="42">
        <f>'WBS chi tiết'!F150</f>
      </c>
      <c r="D150" s="43">
        <f>'WBS chi tiết'!N150</f>
      </c>
      <c r="E150" s="43">
        <f>'WBS chi tiết'!O150</f>
      </c>
      <c r="F150" s="42"/>
      <c r="G150" s="42"/>
      <c r="H150" s="44"/>
      <c r="I150" s="42"/>
      <c r="J150" s="42"/>
      <c r="K150" s="42"/>
      <c r="L150" s="42"/>
      <c r="M150" s="42"/>
      <c r="N150" s="44"/>
      <c r="O150" s="42"/>
      <c r="P150" s="42"/>
      <c r="Q150" s="42"/>
      <c r="R150" s="42"/>
      <c r="S150" s="42"/>
      <c r="T150" s="44"/>
      <c r="U150" s="42"/>
      <c r="V150" s="42"/>
      <c r="W150" s="42"/>
      <c r="X150" s="42"/>
      <c r="Y150" s="42"/>
      <c r="Z150" s="44"/>
      <c r="AA150" s="42"/>
      <c r="AB150" s="42"/>
      <c r="AC150" s="42"/>
      <c r="AD150" s="42"/>
      <c r="AE150" s="42"/>
      <c r="AF150" s="44"/>
      <c r="AG150" s="42"/>
      <c r="AH150" s="42"/>
      <c r="AI150" s="42"/>
      <c r="AJ150" s="42"/>
      <c r="AK150" s="42"/>
      <c r="AL150" s="44"/>
      <c r="AM150" s="42"/>
    </row>
    <row r="151" spans="1:39" s="41" customFormat="1" x14ac:dyDescent="0.25">
      <c r="A151" s="42">
        <f>'WBS chi tiết'!A151</f>
      </c>
      <c r="B151" s="42" t="s">
        <v>1039</v>
      </c>
      <c r="C151" s="42">
        <f>'WBS chi tiết'!F151</f>
      </c>
      <c r="D151" s="43">
        <f>'WBS chi tiết'!N151</f>
      </c>
      <c r="E151" s="43">
        <f>'WBS chi tiết'!O151</f>
      </c>
      <c r="F151" s="42"/>
      <c r="G151" s="42"/>
      <c r="H151" s="44"/>
      <c r="I151" s="42"/>
      <c r="J151" s="42"/>
      <c r="K151" s="42"/>
      <c r="L151" s="42"/>
      <c r="M151" s="42"/>
      <c r="N151" s="44"/>
      <c r="O151" s="42"/>
      <c r="P151" s="42"/>
      <c r="Q151" s="42"/>
      <c r="R151" s="42"/>
      <c r="S151" s="42"/>
      <c r="T151" s="44"/>
      <c r="U151" s="42"/>
      <c r="V151" s="42"/>
      <c r="W151" s="42"/>
      <c r="X151" s="42"/>
      <c r="Y151" s="42"/>
      <c r="Z151" s="44"/>
      <c r="AA151" s="42"/>
      <c r="AB151" s="42"/>
      <c r="AC151" s="42"/>
      <c r="AD151" s="42"/>
      <c r="AE151" s="42"/>
      <c r="AF151" s="44"/>
      <c r="AG151" s="42"/>
      <c r="AH151" s="42"/>
      <c r="AI151" s="42"/>
      <c r="AJ151" s="42"/>
      <c r="AK151" s="42"/>
      <c r="AL151" s="44"/>
      <c r="AM151" s="42"/>
    </row>
    <row r="152" spans="1:39" s="41" customFormat="1" x14ac:dyDescent="0.25">
      <c r="A152" s="42">
        <f>'WBS chi tiết'!A152</f>
      </c>
      <c r="B152" s="42" t="s">
        <v>1040</v>
      </c>
      <c r="C152" s="42">
        <f>'WBS chi tiết'!F152</f>
      </c>
      <c r="D152" s="43">
        <f>'WBS chi tiết'!N152</f>
      </c>
      <c r="E152" s="43">
        <f>'WBS chi tiết'!O152</f>
      </c>
      <c r="F152" s="42"/>
      <c r="G152" s="42"/>
      <c r="H152" s="44"/>
      <c r="I152" s="42"/>
      <c r="J152" s="42"/>
      <c r="K152" s="42"/>
      <c r="L152" s="42"/>
      <c r="M152" s="42"/>
      <c r="N152" s="44"/>
      <c r="O152" s="42"/>
      <c r="P152" s="42"/>
      <c r="Q152" s="42"/>
      <c r="R152" s="42"/>
      <c r="S152" s="42"/>
      <c r="T152" s="44"/>
      <c r="U152" s="42"/>
      <c r="V152" s="42"/>
      <c r="W152" s="42"/>
      <c r="X152" s="42"/>
      <c r="Y152" s="42"/>
      <c r="Z152" s="44"/>
      <c r="AA152" s="42"/>
      <c r="AB152" s="42"/>
      <c r="AC152" s="42"/>
      <c r="AD152" s="42"/>
      <c r="AE152" s="42"/>
      <c r="AF152" s="44"/>
      <c r="AG152" s="42"/>
      <c r="AH152" s="42"/>
      <c r="AI152" s="42"/>
      <c r="AJ152" s="42"/>
      <c r="AK152" s="42"/>
      <c r="AL152" s="44"/>
      <c r="AM152" s="42"/>
    </row>
    <row r="153" spans="1:39" s="41" customFormat="1" x14ac:dyDescent="0.25">
      <c r="A153" s="42">
        <f>'WBS chi tiết'!A153</f>
      </c>
      <c r="B153" s="42" t="s">
        <v>1041</v>
      </c>
      <c r="C153" s="42">
        <f>'WBS chi tiết'!F153</f>
      </c>
      <c r="D153" s="43">
        <f>'WBS chi tiết'!N153</f>
      </c>
      <c r="E153" s="43">
        <f>'WBS chi tiết'!O153</f>
      </c>
      <c r="F153" s="42"/>
      <c r="G153" s="42"/>
      <c r="H153" s="44"/>
      <c r="I153" s="42"/>
      <c r="J153" s="42"/>
      <c r="K153" s="42"/>
      <c r="L153" s="42"/>
      <c r="M153" s="42"/>
      <c r="N153" s="44"/>
      <c r="O153" s="42"/>
      <c r="P153" s="42"/>
      <c r="Q153" s="42"/>
      <c r="R153" s="42"/>
      <c r="S153" s="42"/>
      <c r="T153" s="44"/>
      <c r="U153" s="42"/>
      <c r="V153" s="42"/>
      <c r="W153" s="42"/>
      <c r="X153" s="42"/>
      <c r="Y153" s="42"/>
      <c r="Z153" s="44"/>
      <c r="AA153" s="42"/>
      <c r="AB153" s="42"/>
      <c r="AC153" s="42"/>
      <c r="AD153" s="42"/>
      <c r="AE153" s="42"/>
      <c r="AF153" s="44"/>
      <c r="AG153" s="42"/>
      <c r="AH153" s="42"/>
      <c r="AI153" s="42"/>
      <c r="AJ153" s="42"/>
      <c r="AK153" s="42"/>
      <c r="AL153" s="44"/>
      <c r="AM153" s="42"/>
    </row>
    <row r="154" spans="1:39" s="41" customFormat="1" x14ac:dyDescent="0.25">
      <c r="A154" s="42">
        <f>'WBS chi tiết'!A154</f>
      </c>
      <c r="B154" s="42" t="s">
        <v>1042</v>
      </c>
      <c r="C154" s="42">
        <f>'WBS chi tiết'!F154</f>
      </c>
      <c r="D154" s="43">
        <f>'WBS chi tiết'!N154</f>
      </c>
      <c r="E154" s="43">
        <f>'WBS chi tiết'!O154</f>
      </c>
      <c r="F154" s="42"/>
      <c r="G154" s="42"/>
      <c r="H154" s="44"/>
      <c r="I154" s="42"/>
      <c r="J154" s="42"/>
      <c r="K154" s="42"/>
      <c r="L154" s="42"/>
      <c r="M154" s="42"/>
      <c r="N154" s="44"/>
      <c r="O154" s="42"/>
      <c r="P154" s="42"/>
      <c r="Q154" s="42"/>
      <c r="R154" s="42"/>
      <c r="S154" s="42"/>
      <c r="T154" s="44"/>
      <c r="U154" s="42"/>
      <c r="V154" s="42"/>
      <c r="W154" s="42"/>
      <c r="X154" s="42"/>
      <c r="Y154" s="42"/>
      <c r="Z154" s="44"/>
      <c r="AA154" s="42"/>
      <c r="AB154" s="42"/>
      <c r="AC154" s="42"/>
      <c r="AD154" s="42"/>
      <c r="AE154" s="42"/>
      <c r="AF154" s="44"/>
      <c r="AG154" s="42"/>
      <c r="AH154" s="42"/>
      <c r="AI154" s="42"/>
      <c r="AJ154" s="42"/>
      <c r="AK154" s="42"/>
      <c r="AL154" s="44"/>
      <c r="AM154" s="42"/>
    </row>
    <row r="155" spans="1:39" s="41" customFormat="1" x14ac:dyDescent="0.25">
      <c r="A155" s="42">
        <f>'WBS chi tiết'!A155</f>
      </c>
      <c r="B155" s="42" t="s">
        <v>850</v>
      </c>
      <c r="C155" s="42">
        <f>'WBS chi tiết'!F155</f>
      </c>
      <c r="D155" s="43">
        <f>'WBS chi tiết'!N155</f>
      </c>
      <c r="E155" s="43">
        <f>'WBS chi tiết'!O155</f>
      </c>
      <c r="F155" s="42"/>
      <c r="G155" s="42"/>
      <c r="H155" s="44"/>
      <c r="I155" s="42"/>
      <c r="J155" s="42"/>
      <c r="K155" s="42"/>
      <c r="L155" s="42"/>
      <c r="M155" s="42"/>
      <c r="N155" s="44"/>
      <c r="O155" s="42"/>
      <c r="P155" s="42"/>
      <c r="Q155" s="42"/>
      <c r="R155" s="42"/>
      <c r="S155" s="42"/>
      <c r="T155" s="44"/>
      <c r="U155" s="42"/>
      <c r="V155" s="42"/>
      <c r="W155" s="42"/>
      <c r="X155" s="42"/>
      <c r="Y155" s="42"/>
      <c r="Z155" s="44"/>
      <c r="AA155" s="42"/>
      <c r="AB155" s="42"/>
      <c r="AC155" s="42"/>
      <c r="AD155" s="42"/>
      <c r="AE155" s="42"/>
      <c r="AF155" s="44"/>
      <c r="AG155" s="42"/>
      <c r="AH155" s="42"/>
      <c r="AI155" s="42"/>
      <c r="AJ155" s="42"/>
      <c r="AK155" s="42"/>
      <c r="AL155" s="44"/>
      <c r="AM155" s="42"/>
    </row>
    <row r="156" spans="1:39" s="41" customFormat="1" x14ac:dyDescent="0.25">
      <c r="A156" s="42">
        <f>'WBS chi tiết'!A156</f>
      </c>
      <c r="B156" s="42" t="s">
        <v>1043</v>
      </c>
      <c r="C156" s="42">
        <f>'WBS chi tiết'!F156</f>
      </c>
      <c r="D156" s="43">
        <f>'WBS chi tiết'!N156</f>
      </c>
      <c r="E156" s="43">
        <f>'WBS chi tiết'!O156</f>
      </c>
      <c r="F156" s="42"/>
      <c r="G156" s="42"/>
      <c r="H156" s="44"/>
      <c r="I156" s="42"/>
      <c r="J156" s="42"/>
      <c r="K156" s="42"/>
      <c r="L156" s="42"/>
      <c r="M156" s="42"/>
      <c r="N156" s="44"/>
      <c r="O156" s="42"/>
      <c r="P156" s="42"/>
      <c r="Q156" s="42"/>
      <c r="R156" s="42"/>
      <c r="S156" s="42"/>
      <c r="T156" s="44"/>
      <c r="U156" s="42"/>
      <c r="V156" s="42"/>
      <c r="W156" s="42"/>
      <c r="X156" s="42"/>
      <c r="Y156" s="42"/>
      <c r="Z156" s="44"/>
      <c r="AA156" s="42"/>
      <c r="AB156" s="42"/>
      <c r="AC156" s="42"/>
      <c r="AD156" s="42"/>
      <c r="AE156" s="42"/>
      <c r="AF156" s="44"/>
      <c r="AG156" s="42"/>
      <c r="AH156" s="42"/>
      <c r="AI156" s="42"/>
      <c r="AJ156" s="42"/>
      <c r="AK156" s="42"/>
      <c r="AL156" s="44"/>
      <c r="AM156" s="42"/>
    </row>
    <row r="157" spans="1:39" s="41" customFormat="1" x14ac:dyDescent="0.25">
      <c r="A157" s="42">
        <f>'WBS chi tiết'!A157</f>
      </c>
      <c r="B157" s="42" t="s">
        <v>1044</v>
      </c>
      <c r="C157" s="42">
        <f>'WBS chi tiết'!F157</f>
      </c>
      <c r="D157" s="43">
        <f>'WBS chi tiết'!N157</f>
      </c>
      <c r="E157" s="43">
        <f>'WBS chi tiết'!O157</f>
      </c>
      <c r="F157" s="42"/>
      <c r="G157" s="42"/>
      <c r="H157" s="44"/>
      <c r="I157" s="42"/>
      <c r="J157" s="42"/>
      <c r="K157" s="42"/>
      <c r="L157" s="42"/>
      <c r="M157" s="42"/>
      <c r="N157" s="44"/>
      <c r="O157" s="42"/>
      <c r="P157" s="42"/>
      <c r="Q157" s="42"/>
      <c r="R157" s="42"/>
      <c r="S157" s="42"/>
      <c r="T157" s="44"/>
      <c r="U157" s="42"/>
      <c r="V157" s="42"/>
      <c r="W157" s="42"/>
      <c r="X157" s="42"/>
      <c r="Y157" s="42"/>
      <c r="Z157" s="44"/>
      <c r="AA157" s="42"/>
      <c r="AB157" s="42"/>
      <c r="AC157" s="42"/>
      <c r="AD157" s="42"/>
      <c r="AE157" s="42"/>
      <c r="AF157" s="44"/>
      <c r="AG157" s="42"/>
      <c r="AH157" s="42"/>
      <c r="AI157" s="42"/>
      <c r="AJ157" s="42"/>
      <c r="AK157" s="42"/>
      <c r="AL157" s="44"/>
      <c r="AM157" s="42"/>
    </row>
    <row r="158" spans="1:39" s="41" customFormat="1" x14ac:dyDescent="0.25">
      <c r="A158" s="42">
        <f>'WBS chi tiết'!A158</f>
      </c>
      <c r="B158" s="42" t="s">
        <v>1045</v>
      </c>
      <c r="C158" s="42">
        <f>'WBS chi tiết'!F158</f>
      </c>
      <c r="D158" s="43">
        <f>'WBS chi tiết'!N158</f>
      </c>
      <c r="E158" s="43">
        <f>'WBS chi tiết'!O158</f>
      </c>
      <c r="F158" s="42"/>
      <c r="G158" s="42"/>
      <c r="H158" s="44"/>
      <c r="I158" s="42"/>
      <c r="J158" s="42"/>
      <c r="K158" s="42"/>
      <c r="L158" s="42"/>
      <c r="M158" s="42"/>
      <c r="N158" s="44"/>
      <c r="O158" s="42"/>
      <c r="P158" s="42"/>
      <c r="Q158" s="42"/>
      <c r="R158" s="42"/>
      <c r="S158" s="42"/>
      <c r="T158" s="44"/>
      <c r="U158" s="42"/>
      <c r="V158" s="42"/>
      <c r="W158" s="42"/>
      <c r="X158" s="42"/>
      <c r="Y158" s="42"/>
      <c r="Z158" s="44"/>
      <c r="AA158" s="42"/>
      <c r="AB158" s="42"/>
      <c r="AC158" s="42"/>
      <c r="AD158" s="42"/>
      <c r="AE158" s="42"/>
      <c r="AF158" s="44"/>
      <c r="AG158" s="42"/>
      <c r="AH158" s="42"/>
      <c r="AI158" s="42"/>
      <c r="AJ158" s="42"/>
      <c r="AK158" s="42"/>
      <c r="AL158" s="44"/>
      <c r="AM158" s="42"/>
    </row>
    <row r="159" spans="1:39" s="41" customFormat="1" x14ac:dyDescent="0.25">
      <c r="A159" s="42">
        <f>'WBS chi tiết'!A159</f>
      </c>
      <c r="B159" s="42" t="s">
        <v>868</v>
      </c>
      <c r="C159" s="42">
        <f>'WBS chi tiết'!F159</f>
      </c>
      <c r="D159" s="43">
        <f>'WBS chi tiết'!N159</f>
      </c>
      <c r="E159" s="43">
        <f>'WBS chi tiết'!O159</f>
      </c>
      <c r="F159" s="42"/>
      <c r="G159" s="42"/>
      <c r="H159" s="44"/>
      <c r="I159" s="42"/>
      <c r="J159" s="42"/>
      <c r="K159" s="42"/>
      <c r="L159" s="42"/>
      <c r="M159" s="42"/>
      <c r="N159" s="44"/>
      <c r="O159" s="42"/>
      <c r="P159" s="42"/>
      <c r="Q159" s="42"/>
      <c r="R159" s="42"/>
      <c r="S159" s="42"/>
      <c r="T159" s="44"/>
      <c r="U159" s="42"/>
      <c r="V159" s="42"/>
      <c r="W159" s="42"/>
      <c r="X159" s="42"/>
      <c r="Y159" s="42"/>
      <c r="Z159" s="44"/>
      <c r="AA159" s="42"/>
      <c r="AB159" s="42"/>
      <c r="AC159" s="42"/>
      <c r="AD159" s="42"/>
      <c r="AE159" s="42"/>
      <c r="AF159" s="44"/>
      <c r="AG159" s="42"/>
      <c r="AH159" s="42"/>
      <c r="AI159" s="42"/>
      <c r="AJ159" s="42"/>
      <c r="AK159" s="42"/>
      <c r="AL159" s="44"/>
      <c r="AM159" s="42"/>
    </row>
    <row r="160" spans="1:39" s="41" customFormat="1" x14ac:dyDescent="0.25">
      <c r="A160" s="42">
        <f>'WBS chi tiết'!A160</f>
      </c>
      <c r="B160" s="42" t="s">
        <v>873</v>
      </c>
      <c r="C160" s="42">
        <f>'WBS chi tiết'!F160</f>
      </c>
      <c r="D160" s="43">
        <f>'WBS chi tiết'!N160</f>
      </c>
      <c r="E160" s="43">
        <f>'WBS chi tiết'!O160</f>
      </c>
      <c r="F160" s="42"/>
      <c r="G160" s="42"/>
      <c r="H160" s="44"/>
      <c r="I160" s="42"/>
      <c r="J160" s="42"/>
      <c r="K160" s="42"/>
      <c r="L160" s="42"/>
      <c r="M160" s="42"/>
      <c r="N160" s="44"/>
      <c r="O160" s="42"/>
      <c r="P160" s="42"/>
      <c r="Q160" s="42"/>
      <c r="R160" s="42"/>
      <c r="S160" s="42"/>
      <c r="T160" s="44"/>
      <c r="U160" s="42"/>
      <c r="V160" s="42"/>
      <c r="W160" s="42"/>
      <c r="X160" s="42"/>
      <c r="Y160" s="42"/>
      <c r="Z160" s="44"/>
      <c r="AA160" s="42"/>
      <c r="AB160" s="42"/>
      <c r="AC160" s="42"/>
      <c r="AD160" s="42"/>
      <c r="AE160" s="42"/>
      <c r="AF160" s="44"/>
      <c r="AG160" s="42"/>
      <c r="AH160" s="42"/>
      <c r="AI160" s="42"/>
      <c r="AJ160" s="42"/>
      <c r="AK160" s="42"/>
      <c r="AL160" s="44"/>
      <c r="AM160" s="42"/>
    </row>
    <row r="161" spans="1:39" s="41" customFormat="1" x14ac:dyDescent="0.25">
      <c r="A161" s="42">
        <f>'WBS chi tiết'!A161</f>
      </c>
      <c r="B161" s="42" t="s">
        <v>878</v>
      </c>
      <c r="C161" s="42">
        <f>'WBS chi tiết'!F161</f>
      </c>
      <c r="D161" s="43">
        <f>'WBS chi tiết'!N161</f>
      </c>
      <c r="E161" s="43">
        <f>'WBS chi tiết'!O161</f>
      </c>
      <c r="F161" s="42"/>
      <c r="G161" s="42"/>
      <c r="H161" s="44"/>
      <c r="I161" s="42"/>
      <c r="J161" s="42"/>
      <c r="K161" s="42"/>
      <c r="L161" s="42"/>
      <c r="M161" s="42"/>
      <c r="N161" s="44"/>
      <c r="O161" s="42"/>
      <c r="P161" s="42"/>
      <c r="Q161" s="42"/>
      <c r="R161" s="42"/>
      <c r="S161" s="42"/>
      <c r="T161" s="44"/>
      <c r="U161" s="42"/>
      <c r="V161" s="42"/>
      <c r="W161" s="42"/>
      <c r="X161" s="42"/>
      <c r="Y161" s="42"/>
      <c r="Z161" s="44"/>
      <c r="AA161" s="42"/>
      <c r="AB161" s="42"/>
      <c r="AC161" s="42"/>
      <c r="AD161" s="42"/>
      <c r="AE161" s="42"/>
      <c r="AF161" s="44"/>
      <c r="AG161" s="42"/>
      <c r="AH161" s="42"/>
      <c r="AI161" s="42"/>
      <c r="AJ161" s="42"/>
      <c r="AK161" s="42"/>
      <c r="AL161" s="44"/>
      <c r="AM161" s="42"/>
    </row>
    <row r="162" spans="1:39" s="41" customFormat="1" x14ac:dyDescent="0.25">
      <c r="A162" s="42">
        <f>'WBS chi tiết'!A162</f>
      </c>
      <c r="B162" s="42" t="s">
        <v>883</v>
      </c>
      <c r="C162" s="42">
        <f>'WBS chi tiết'!F162</f>
      </c>
      <c r="D162" s="43">
        <f>'WBS chi tiết'!N162</f>
      </c>
      <c r="E162" s="43">
        <f>'WBS chi tiết'!O162</f>
      </c>
      <c r="F162" s="42"/>
      <c r="G162" s="42"/>
      <c r="H162" s="44"/>
      <c r="I162" s="42"/>
      <c r="J162" s="42"/>
      <c r="K162" s="42"/>
      <c r="L162" s="42"/>
      <c r="M162" s="42"/>
      <c r="N162" s="44"/>
      <c r="O162" s="42"/>
      <c r="P162" s="42"/>
      <c r="Q162" s="42"/>
      <c r="R162" s="42"/>
      <c r="S162" s="42"/>
      <c r="T162" s="44"/>
      <c r="U162" s="42"/>
      <c r="V162" s="42"/>
      <c r="W162" s="42"/>
      <c r="X162" s="42"/>
      <c r="Y162" s="42"/>
      <c r="Z162" s="44"/>
      <c r="AA162" s="42"/>
      <c r="AB162" s="42"/>
      <c r="AC162" s="42"/>
      <c r="AD162" s="42"/>
      <c r="AE162" s="42"/>
      <c r="AF162" s="44"/>
      <c r="AG162" s="42"/>
      <c r="AH162" s="42"/>
      <c r="AI162" s="42"/>
      <c r="AJ162" s="42"/>
      <c r="AK162" s="42"/>
      <c r="AL162" s="44"/>
      <c r="AM162" s="42"/>
    </row>
    <row r="163" spans="1:39" s="41" customFormat="1" x14ac:dyDescent="0.25">
      <c r="A163" s="42">
        <f>'WBS chi tiết'!A163</f>
      </c>
      <c r="B163" s="42" t="s">
        <v>1046</v>
      </c>
      <c r="C163" s="42">
        <f>'WBS chi tiết'!F163</f>
      </c>
      <c r="D163" s="43">
        <f>'WBS chi tiết'!N163</f>
      </c>
      <c r="E163" s="43">
        <f>'WBS chi tiết'!O163</f>
      </c>
      <c r="F163" s="42"/>
      <c r="G163" s="42"/>
      <c r="H163" s="44"/>
      <c r="I163" s="42"/>
      <c r="J163" s="42"/>
      <c r="K163" s="42"/>
      <c r="L163" s="42"/>
      <c r="M163" s="42"/>
      <c r="N163" s="44"/>
      <c r="O163" s="42"/>
      <c r="P163" s="42"/>
      <c r="Q163" s="42"/>
      <c r="R163" s="42"/>
      <c r="S163" s="42"/>
      <c r="T163" s="44"/>
      <c r="U163" s="42"/>
      <c r="V163" s="42"/>
      <c r="W163" s="42"/>
      <c r="X163" s="42"/>
      <c r="Y163" s="42"/>
      <c r="Z163" s="44"/>
      <c r="AA163" s="42"/>
      <c r="AB163" s="42"/>
      <c r="AC163" s="42"/>
      <c r="AD163" s="42"/>
      <c r="AE163" s="42"/>
      <c r="AF163" s="44"/>
      <c r="AG163" s="42"/>
      <c r="AH163" s="42"/>
      <c r="AI163" s="42"/>
      <c r="AJ163" s="42"/>
      <c r="AK163" s="42"/>
      <c r="AL163" s="44"/>
      <c r="AM163" s="42"/>
    </row>
    <row r="164" spans="1:39" s="41" customFormat="1" x14ac:dyDescent="0.25">
      <c r="A164" s="42">
        <f>'WBS chi tiết'!A164</f>
      </c>
      <c r="B164" s="42" t="s">
        <v>891</v>
      </c>
      <c r="C164" s="42">
        <f>'WBS chi tiết'!F164</f>
      </c>
      <c r="D164" s="43">
        <f>'WBS chi tiết'!N164</f>
      </c>
      <c r="E164" s="43">
        <f>'WBS chi tiết'!O164</f>
      </c>
      <c r="F164" s="42"/>
      <c r="G164" s="42"/>
      <c r="H164" s="44"/>
      <c r="I164" s="42"/>
      <c r="J164" s="42"/>
      <c r="K164" s="42"/>
      <c r="L164" s="42"/>
      <c r="M164" s="42"/>
      <c r="N164" s="44"/>
      <c r="O164" s="42"/>
      <c r="P164" s="42"/>
      <c r="Q164" s="42"/>
      <c r="R164" s="42"/>
      <c r="S164" s="42"/>
      <c r="T164" s="44"/>
      <c r="U164" s="42"/>
      <c r="V164" s="42"/>
      <c r="W164" s="42"/>
      <c r="X164" s="42"/>
      <c r="Y164" s="42"/>
      <c r="Z164" s="44"/>
      <c r="AA164" s="42"/>
      <c r="AB164" s="42"/>
      <c r="AC164" s="42"/>
      <c r="AD164" s="42"/>
      <c r="AE164" s="42"/>
      <c r="AF164" s="44"/>
      <c r="AG164" s="42"/>
      <c r="AH164" s="42"/>
      <c r="AI164" s="42"/>
      <c r="AJ164" s="42"/>
      <c r="AK164" s="42"/>
      <c r="AL164" s="44"/>
      <c r="AM164" s="42"/>
    </row>
    <row r="165" spans="1:39" s="41" customFormat="1" x14ac:dyDescent="0.25">
      <c r="A165" s="42">
        <f>'WBS chi tiết'!A165</f>
      </c>
      <c r="B165" s="42" t="s">
        <v>895</v>
      </c>
      <c r="C165" s="42">
        <f>'WBS chi tiết'!F165</f>
      </c>
      <c r="D165" s="43">
        <f>'WBS chi tiết'!N165</f>
      </c>
      <c r="E165" s="43">
        <f>'WBS chi tiết'!O165</f>
      </c>
      <c r="F165" s="42"/>
      <c r="G165" s="42"/>
      <c r="H165" s="44"/>
      <c r="I165" s="42"/>
      <c r="J165" s="42"/>
      <c r="K165" s="42"/>
      <c r="L165" s="42"/>
      <c r="M165" s="42"/>
      <c r="N165" s="44"/>
      <c r="O165" s="42"/>
      <c r="P165" s="42"/>
      <c r="Q165" s="42"/>
      <c r="R165" s="42"/>
      <c r="S165" s="42"/>
      <c r="T165" s="44"/>
      <c r="U165" s="42"/>
      <c r="V165" s="42"/>
      <c r="W165" s="42"/>
      <c r="X165" s="42"/>
      <c r="Y165" s="42"/>
      <c r="Z165" s="44"/>
      <c r="AA165" s="42"/>
      <c r="AB165" s="42"/>
      <c r="AC165" s="42"/>
      <c r="AD165" s="42"/>
      <c r="AE165" s="42"/>
      <c r="AF165" s="44"/>
      <c r="AG165" s="42"/>
      <c r="AH165" s="42"/>
      <c r="AI165" s="42"/>
      <c r="AJ165" s="42"/>
      <c r="AK165" s="42"/>
      <c r="AL165" s="44"/>
      <c r="AM165" s="42"/>
    </row>
    <row r="166" spans="1:39" s="41" customFormat="1" x14ac:dyDescent="0.25">
      <c r="A166" s="42">
        <f>'WBS chi tiết'!A166</f>
      </c>
      <c r="B166" s="42" t="s">
        <v>899</v>
      </c>
      <c r="C166" s="42">
        <f>'WBS chi tiết'!F166</f>
      </c>
      <c r="D166" s="43">
        <f>'WBS chi tiết'!N166</f>
      </c>
      <c r="E166" s="43">
        <f>'WBS chi tiết'!O166</f>
      </c>
      <c r="F166" s="42"/>
      <c r="G166" s="42"/>
      <c r="H166" s="44"/>
      <c r="I166" s="42"/>
      <c r="J166" s="42"/>
      <c r="K166" s="42"/>
      <c r="L166" s="42"/>
      <c r="M166" s="42"/>
      <c r="N166" s="44"/>
      <c r="O166" s="42"/>
      <c r="P166" s="42"/>
      <c r="Q166" s="42"/>
      <c r="R166" s="42"/>
      <c r="S166" s="42"/>
      <c r="T166" s="44"/>
      <c r="U166" s="42"/>
      <c r="V166" s="42"/>
      <c r="W166" s="42"/>
      <c r="X166" s="42"/>
      <c r="Y166" s="42"/>
      <c r="Z166" s="44"/>
      <c r="AA166" s="42"/>
      <c r="AB166" s="42"/>
      <c r="AC166" s="42"/>
      <c r="AD166" s="42"/>
      <c r="AE166" s="42"/>
      <c r="AF166" s="44"/>
      <c r="AG166" s="42"/>
      <c r="AH166" s="42"/>
      <c r="AI166" s="42"/>
      <c r="AJ166" s="42"/>
      <c r="AK166" s="42"/>
      <c r="AL166" s="44"/>
      <c r="AM166" s="42"/>
    </row>
  </sheetData>
  <conditionalFormatting sqref="F5:AM166">
    <cfRule type="expression" dxfId="0" priority="1">
      <formula>AND(F$4&gt;=$D5,F$4&lt;=$E5,$C5="Tuấn")</formula>
    </cfRule>
    <cfRule type="expression" dxfId="1" priority="2">
      <formula>AND(F$4&gt;=$D5,F$4&lt;=$E5,$C5="Nam")</formula>
    </cfRule>
    <cfRule type="expression" dxfId="2" priority="3">
      <formula>AND(F$4&gt;=$D5,F$4&lt;=$E5,$C5="Khang")</formula>
    </cfRule>
    <cfRule type="expression" dxfId="3" priority="4">
      <formula>AND(F$4&gt;=$D5,F$4&lt;=$E5,$C5="Sơn")</formula>
    </cfRule>
    <cfRule type="expression" dxfId="4" priority="5">
      <formula>AND(F$4&gt;=$D5,F$4&lt;=$E5,$C5="Hằng")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4" customWidth="1"/>
  </cols>
  <sheetData>
    <row r="1" spans="1:1" x14ac:dyDescent="0.25">
      <c r="A1" s="1" t="s">
        <v>1047</v>
      </c>
    </row>
    <row r="2" spans="1:1" x14ac:dyDescent="0.25">
      <c r="A2" s="2" t="s">
        <v>1048</v>
      </c>
    </row>
    <row r="4" ht="40" customHeight="1" spans="1:9" x14ac:dyDescent="0.25">
      <c r="A4" s="6" t="s">
        <v>17</v>
      </c>
      <c r="B4" s="6" t="s">
        <v>1049</v>
      </c>
      <c r="C4" s="6" t="s">
        <v>1050</v>
      </c>
      <c r="D4" s="6" t="s">
        <v>1051</v>
      </c>
      <c r="E4" s="6" t="s">
        <v>1052</v>
      </c>
      <c r="F4" s="6" t="s">
        <v>1053</v>
      </c>
      <c r="G4" s="6" t="s">
        <v>1054</v>
      </c>
      <c r="H4" s="6" t="s">
        <v>1055</v>
      </c>
      <c r="I4" s="6" t="s">
        <v>560</v>
      </c>
    </row>
    <row r="5" spans="1:9" s="45" customFormat="1" x14ac:dyDescent="0.25">
      <c r="A5" s="46" t="s">
        <v>1056</v>
      </c>
      <c r="B5" s="46">
        <v>2</v>
      </c>
      <c r="C5" s="46">
        <v>5</v>
      </c>
      <c r="D5" s="46">
        <v>5</v>
      </c>
      <c r="E5" s="46">
        <v>5</v>
      </c>
      <c r="F5" s="46">
        <v>5</v>
      </c>
      <c r="G5" s="46">
        <v>5</v>
      </c>
      <c r="H5" s="46">
        <v>1</v>
      </c>
      <c r="I5" s="46">
        <v>28</v>
      </c>
    </row>
    <row r="6" spans="1:9" x14ac:dyDescent="0.25">
      <c r="A6" s="7" t="s">
        <v>24</v>
      </c>
      <c r="B6" s="47">
        <v>2.4</v>
      </c>
      <c r="C6" s="48">
        <v>5</v>
      </c>
      <c r="D6" s="47">
        <v>6</v>
      </c>
      <c r="E6" s="47">
        <v>6</v>
      </c>
      <c r="F6" s="47">
        <v>5.45</v>
      </c>
      <c r="G6" s="47">
        <v>5.08</v>
      </c>
      <c r="H6" s="49">
        <v>0.42</v>
      </c>
      <c r="I6" s="8">
        <f>SUM(B6:H6)</f>
      </c>
    </row>
    <row r="7" spans="1:9" x14ac:dyDescent="0.25">
      <c r="A7" s="7" t="s">
        <v>27</v>
      </c>
      <c r="B7" s="49">
        <v>1.5</v>
      </c>
      <c r="C7" s="48">
        <v>5</v>
      </c>
      <c r="D7" s="47">
        <v>6</v>
      </c>
      <c r="E7" s="47">
        <v>6</v>
      </c>
      <c r="F7" s="47">
        <v>5.05</v>
      </c>
      <c r="G7" s="48">
        <v>4.58</v>
      </c>
      <c r="H7" s="49">
        <v>0.42</v>
      </c>
      <c r="I7" s="8">
        <f>SUM(B7:H7)</f>
      </c>
    </row>
    <row r="8" spans="1:9" x14ac:dyDescent="0.25">
      <c r="A8" s="7" t="s">
        <v>30</v>
      </c>
      <c r="B8" s="50">
        <v>0.38</v>
      </c>
      <c r="C8" s="50">
        <v>1.5</v>
      </c>
      <c r="D8" s="48">
        <v>4.13</v>
      </c>
      <c r="E8" s="48">
        <v>4.5</v>
      </c>
      <c r="F8" s="49">
        <v>3.56</v>
      </c>
      <c r="G8" s="50">
        <v>0.94</v>
      </c>
      <c r="H8" s="50">
        <v>0.25</v>
      </c>
      <c r="I8" s="8">
        <f>SUM(B8:H8)</f>
      </c>
    </row>
    <row r="9" spans="1:9" x14ac:dyDescent="0.25">
      <c r="A9" s="7" t="s">
        <v>33</v>
      </c>
      <c r="B9" s="49">
        <v>0.75</v>
      </c>
      <c r="C9" s="49">
        <v>2</v>
      </c>
      <c r="D9" s="50">
        <v>1</v>
      </c>
      <c r="E9" s="50">
        <v>0</v>
      </c>
      <c r="F9" s="50">
        <v>0.81</v>
      </c>
      <c r="G9" s="50">
        <v>1.44</v>
      </c>
      <c r="H9" s="50">
        <v>0.25</v>
      </c>
      <c r="I9" s="8">
        <f>SUM(B9:H9)</f>
      </c>
    </row>
    <row r="10" spans="1:9" x14ac:dyDescent="0.25">
      <c r="A10" s="7" t="s">
        <v>36</v>
      </c>
      <c r="B10" s="49">
        <v>0.75</v>
      </c>
      <c r="C10" s="49">
        <v>2.8</v>
      </c>
      <c r="D10" s="50">
        <v>0.7</v>
      </c>
      <c r="E10" s="50">
        <v>0.5</v>
      </c>
      <c r="F10" s="50">
        <v>0.25</v>
      </c>
      <c r="G10" s="50">
        <v>1.25</v>
      </c>
      <c r="H10" s="50">
        <v>0.25</v>
      </c>
      <c r="I10" s="8">
        <f>SUM(B10:H10)</f>
      </c>
    </row>
    <row r="12" spans="1:2" x14ac:dyDescent="0.25">
      <c r="A12" s="51"/>
      <c r="B12" t="s">
        <v>1057</v>
      </c>
    </row>
    <row r="13" spans="1:2" x14ac:dyDescent="0.25">
      <c r="A13" s="52"/>
      <c r="B13" t="s">
        <v>1058</v>
      </c>
    </row>
    <row r="14" spans="1:2" x14ac:dyDescent="0.25">
      <c r="A14" s="53"/>
      <c r="B1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0" customWidth="1"/>
    <col min="3" max="3" width="10" customWidth="1"/>
    <col min="4" max="9" width="8" customWidth="1"/>
    <col min="10" max="10" width="34" customWidth="1"/>
  </cols>
  <sheetData>
    <row r="1" spans="1:1" x14ac:dyDescent="0.25">
      <c r="A1" s="1" t="s">
        <v>1060</v>
      </c>
    </row>
    <row r="2" spans="1:1" x14ac:dyDescent="0.25">
      <c r="A2" s="2" t="s">
        <v>1061</v>
      </c>
    </row>
    <row r="4" ht="32" customHeight="1" spans="1:10" x14ac:dyDescent="0.25">
      <c r="A4" s="6" t="s">
        <v>100</v>
      </c>
      <c r="B4" s="6" t="s">
        <v>1062</v>
      </c>
      <c r="C4" s="6" t="s">
        <v>568</v>
      </c>
      <c r="D4" s="6" t="s">
        <v>1063</v>
      </c>
      <c r="E4" s="6" t="s">
        <v>24</v>
      </c>
      <c r="F4" s="6" t="s">
        <v>27</v>
      </c>
      <c r="G4" s="6" t="s">
        <v>30</v>
      </c>
      <c r="H4" s="6" t="s">
        <v>33</v>
      </c>
      <c r="I4" s="6" t="s">
        <v>36</v>
      </c>
      <c r="J4" s="6" t="s">
        <v>1064</v>
      </c>
    </row>
    <row r="5" spans="1:10" x14ac:dyDescent="0.25">
      <c r="A5" s="7" t="s">
        <v>181</v>
      </c>
      <c r="B5" s="11" t="s">
        <v>1065</v>
      </c>
      <c r="C5" s="7" t="s">
        <v>605</v>
      </c>
      <c r="D5" s="7">
        <f>COUNTIF('Danh mục API'!C:C,A5)</f>
      </c>
      <c r="E5" s="54" t="s">
        <v>1066</v>
      </c>
      <c r="F5" s="54" t="s">
        <v>1067</v>
      </c>
      <c r="G5" s="55" t="s">
        <v>40</v>
      </c>
      <c r="H5" s="55" t="s">
        <v>1068</v>
      </c>
      <c r="I5" s="55" t="s">
        <v>441</v>
      </c>
      <c r="J5" s="11" t="s">
        <v>1069</v>
      </c>
    </row>
    <row r="6" spans="1:10" x14ac:dyDescent="0.25">
      <c r="A6" s="7" t="s">
        <v>272</v>
      </c>
      <c r="B6" s="11" t="s">
        <v>1070</v>
      </c>
      <c r="C6" s="7" t="s">
        <v>605</v>
      </c>
      <c r="D6" s="7">
        <f>COUNTIF('Danh mục API'!C:C,A6)</f>
      </c>
      <c r="E6" s="54" t="s">
        <v>1066</v>
      </c>
      <c r="F6" s="55" t="s">
        <v>1068</v>
      </c>
      <c r="G6" s="55" t="s">
        <v>40</v>
      </c>
      <c r="H6" s="55" t="s">
        <v>40</v>
      </c>
      <c r="I6" s="55" t="s">
        <v>441</v>
      </c>
      <c r="J6" s="11" t="s">
        <v>40</v>
      </c>
    </row>
    <row r="7" spans="1:10" x14ac:dyDescent="0.25">
      <c r="A7" s="7" t="s">
        <v>307</v>
      </c>
      <c r="B7" s="11" t="s">
        <v>1071</v>
      </c>
      <c r="C7" s="7" t="s">
        <v>605</v>
      </c>
      <c r="D7" s="7">
        <f>COUNTIF('Danh mục API'!C:C,A7)</f>
      </c>
      <c r="E7" s="54" t="s">
        <v>1066</v>
      </c>
      <c r="F7" s="55" t="s">
        <v>1068</v>
      </c>
      <c r="G7" s="55" t="s">
        <v>40</v>
      </c>
      <c r="H7" s="55" t="s">
        <v>441</v>
      </c>
      <c r="I7" s="55" t="s">
        <v>40</v>
      </c>
      <c r="J7" s="11" t="s">
        <v>1072</v>
      </c>
    </row>
    <row r="8" spans="1:10" x14ac:dyDescent="0.25">
      <c r="A8" s="7" t="s">
        <v>321</v>
      </c>
      <c r="B8" s="11" t="s">
        <v>1073</v>
      </c>
      <c r="C8" s="7" t="s">
        <v>605</v>
      </c>
      <c r="D8" s="7">
        <f>COUNTIF('Danh mục API'!C:C,A8)</f>
      </c>
      <c r="E8" s="54" t="s">
        <v>1067</v>
      </c>
      <c r="F8" s="54" t="s">
        <v>1066</v>
      </c>
      <c r="G8" s="55" t="s">
        <v>40</v>
      </c>
      <c r="H8" s="55" t="s">
        <v>40</v>
      </c>
      <c r="I8" s="55" t="s">
        <v>441</v>
      </c>
      <c r="J8" s="11" t="s">
        <v>1074</v>
      </c>
    </row>
    <row r="9" spans="1:10" x14ac:dyDescent="0.25">
      <c r="A9" s="7" t="s">
        <v>372</v>
      </c>
      <c r="B9" s="11" t="s">
        <v>1075</v>
      </c>
      <c r="C9" s="7" t="s">
        <v>605</v>
      </c>
      <c r="D9" s="7">
        <f>COUNTIF('Danh mục API'!C:C,A9)</f>
      </c>
      <c r="E9" s="54" t="s">
        <v>1066</v>
      </c>
      <c r="F9" s="54" t="s">
        <v>1067</v>
      </c>
      <c r="G9" s="55" t="s">
        <v>40</v>
      </c>
      <c r="H9" s="55" t="s">
        <v>441</v>
      </c>
      <c r="I9" s="55" t="s">
        <v>441</v>
      </c>
      <c r="J9" s="11" t="s">
        <v>1076</v>
      </c>
    </row>
    <row r="10" spans="1:10" x14ac:dyDescent="0.25">
      <c r="A10" s="7" t="s">
        <v>386</v>
      </c>
      <c r="B10" s="11" t="s">
        <v>387</v>
      </c>
      <c r="C10" s="7" t="s">
        <v>605</v>
      </c>
      <c r="D10" s="7">
        <f>COUNTIF('Danh mục API'!C:C,A10)</f>
      </c>
      <c r="E10" s="54" t="s">
        <v>1067</v>
      </c>
      <c r="F10" s="54" t="s">
        <v>1066</v>
      </c>
      <c r="G10" s="55" t="s">
        <v>40</v>
      </c>
      <c r="H10" s="55" t="s">
        <v>40</v>
      </c>
      <c r="I10" s="55" t="s">
        <v>441</v>
      </c>
      <c r="J10" s="11" t="s">
        <v>40</v>
      </c>
    </row>
    <row r="11" spans="1:10" x14ac:dyDescent="0.25">
      <c r="A11" s="7" t="s">
        <v>410</v>
      </c>
      <c r="B11" s="11" t="s">
        <v>1077</v>
      </c>
      <c r="C11" s="7" t="s">
        <v>605</v>
      </c>
      <c r="D11" s="7">
        <f>COUNTIF('Danh mục API'!C:C,A11)</f>
      </c>
      <c r="E11" s="54" t="s">
        <v>1066</v>
      </c>
      <c r="F11" s="55" t="s">
        <v>1068</v>
      </c>
      <c r="G11" s="55" t="s">
        <v>40</v>
      </c>
      <c r="H11" s="55" t="s">
        <v>441</v>
      </c>
      <c r="I11" s="55" t="s">
        <v>441</v>
      </c>
      <c r="J11" s="11" t="s">
        <v>1078</v>
      </c>
    </row>
    <row r="12" spans="1:10" x14ac:dyDescent="0.25">
      <c r="A12" s="7" t="s">
        <v>1079</v>
      </c>
      <c r="B12" s="11" t="s">
        <v>1080</v>
      </c>
      <c r="C12" s="7" t="s">
        <v>124</v>
      </c>
      <c r="D12" s="7">
        <f>COUNTIF('Danh mục API'!C:C,A12)</f>
      </c>
      <c r="E12" s="55" t="s">
        <v>182</v>
      </c>
      <c r="F12" s="55" t="s">
        <v>40</v>
      </c>
      <c r="G12" s="55" t="s">
        <v>40</v>
      </c>
      <c r="H12" s="55" t="s">
        <v>1068</v>
      </c>
      <c r="I12" s="55" t="s">
        <v>1068</v>
      </c>
      <c r="J12" s="11" t="s">
        <v>1081</v>
      </c>
    </row>
    <row r="13" spans="1:10" x14ac:dyDescent="0.25">
      <c r="A13" s="7" t="s">
        <v>419</v>
      </c>
      <c r="B13" s="11" t="s">
        <v>420</v>
      </c>
      <c r="C13" s="7" t="s">
        <v>605</v>
      </c>
      <c r="D13" s="7">
        <f>COUNTIF('Danh mục API'!C:C,A13)</f>
      </c>
      <c r="E13" s="54" t="s">
        <v>1067</v>
      </c>
      <c r="F13" s="54" t="s">
        <v>1066</v>
      </c>
      <c r="G13" s="55" t="s">
        <v>40</v>
      </c>
      <c r="H13" s="55" t="s">
        <v>40</v>
      </c>
      <c r="I13" s="55" t="s">
        <v>441</v>
      </c>
      <c r="J13" s="11" t="s">
        <v>1082</v>
      </c>
    </row>
    <row r="14" spans="1:10" x14ac:dyDescent="0.25">
      <c r="A14" s="7" t="s">
        <v>440</v>
      </c>
      <c r="B14" s="11" t="s">
        <v>1083</v>
      </c>
      <c r="C14" s="7" t="s">
        <v>605</v>
      </c>
      <c r="D14" s="7">
        <f>COUNTIF('Danh mục API'!C:C,A14)</f>
      </c>
      <c r="E14" s="54" t="s">
        <v>1067</v>
      </c>
      <c r="F14" s="54" t="s">
        <v>1066</v>
      </c>
      <c r="G14" s="55" t="s">
        <v>40</v>
      </c>
      <c r="H14" s="55" t="s">
        <v>40</v>
      </c>
      <c r="I14" s="55" t="s">
        <v>441</v>
      </c>
      <c r="J14" s="11" t="s">
        <v>1084</v>
      </c>
    </row>
    <row r="15" spans="1:10" x14ac:dyDescent="0.25">
      <c r="A15" s="7" t="s">
        <v>454</v>
      </c>
      <c r="B15" s="11" t="s">
        <v>1085</v>
      </c>
      <c r="C15" s="7" t="s">
        <v>605</v>
      </c>
      <c r="D15" s="7">
        <f>COUNTIF('Danh mục API'!C:C,A15)</f>
      </c>
      <c r="E15" s="54" t="s">
        <v>1067</v>
      </c>
      <c r="F15" s="54" t="s">
        <v>1066</v>
      </c>
      <c r="G15" s="55" t="s">
        <v>40</v>
      </c>
      <c r="H15" s="55" t="s">
        <v>1068</v>
      </c>
      <c r="I15" s="55" t="s">
        <v>441</v>
      </c>
      <c r="J15" s="11" t="s">
        <v>1086</v>
      </c>
    </row>
    <row r="16" spans="1:10" x14ac:dyDescent="0.25">
      <c r="A16" s="7" t="s">
        <v>470</v>
      </c>
      <c r="B16" s="11" t="s">
        <v>471</v>
      </c>
      <c r="C16" s="7" t="s">
        <v>605</v>
      </c>
      <c r="D16" s="7">
        <f>COUNTIF('Danh mục API'!C:C,A16)</f>
      </c>
      <c r="E16" s="54" t="s">
        <v>1067</v>
      </c>
      <c r="F16" s="54" t="s">
        <v>1066</v>
      </c>
      <c r="G16" s="55" t="s">
        <v>40</v>
      </c>
      <c r="H16" s="55" t="s">
        <v>441</v>
      </c>
      <c r="I16" s="55" t="s">
        <v>441</v>
      </c>
      <c r="J16" s="11" t="s">
        <v>1087</v>
      </c>
    </row>
    <row r="17" spans="1:10" x14ac:dyDescent="0.25">
      <c r="A17" s="7" t="s">
        <v>481</v>
      </c>
      <c r="B17" s="11" t="s">
        <v>1088</v>
      </c>
      <c r="C17" s="7" t="s">
        <v>605</v>
      </c>
      <c r="D17" s="7">
        <f>COUNTIF('Danh mục API'!C:C,A17)</f>
      </c>
      <c r="E17" s="54" t="s">
        <v>1066</v>
      </c>
      <c r="F17" s="54" t="s">
        <v>1067</v>
      </c>
      <c r="G17" s="55" t="s">
        <v>40</v>
      </c>
      <c r="H17" s="55" t="s">
        <v>441</v>
      </c>
      <c r="I17" s="55" t="s">
        <v>1068</v>
      </c>
      <c r="J17" s="11" t="s">
        <v>1089</v>
      </c>
    </row>
    <row r="18" spans="1:10" x14ac:dyDescent="0.25">
      <c r="A18" s="7" t="s">
        <v>807</v>
      </c>
      <c r="B18" s="11" t="s">
        <v>1090</v>
      </c>
      <c r="C18" s="7" t="s">
        <v>1091</v>
      </c>
      <c r="D18" s="7">
        <f>COUNTIF('Danh mục API'!C:C,A18)</f>
      </c>
      <c r="E18" s="55" t="s">
        <v>1068</v>
      </c>
      <c r="F18" s="55" t="s">
        <v>182</v>
      </c>
      <c r="G18" s="54" t="s">
        <v>1067</v>
      </c>
      <c r="H18" s="55" t="s">
        <v>441</v>
      </c>
      <c r="I18" s="55" t="s">
        <v>40</v>
      </c>
      <c r="J18" s="11" t="s">
        <v>40</v>
      </c>
    </row>
    <row r="19" spans="1:10" x14ac:dyDescent="0.25">
      <c r="A19" s="7" t="s">
        <v>492</v>
      </c>
      <c r="B19" s="11" t="s">
        <v>1092</v>
      </c>
      <c r="C19" s="7" t="s">
        <v>605</v>
      </c>
      <c r="D19" s="7">
        <f>COUNTIF('Danh mục API'!C:C,A19)</f>
      </c>
      <c r="E19" s="54" t="s">
        <v>1067</v>
      </c>
      <c r="F19" s="55" t="s">
        <v>182</v>
      </c>
      <c r="G19" s="54" t="s">
        <v>1067</v>
      </c>
      <c r="H19" s="55" t="s">
        <v>441</v>
      </c>
      <c r="I19" s="55" t="s">
        <v>40</v>
      </c>
      <c r="J19" s="11" t="s">
        <v>1093</v>
      </c>
    </row>
    <row r="20" spans="1:10" x14ac:dyDescent="0.25">
      <c r="A20" s="7" t="s">
        <v>503</v>
      </c>
      <c r="B20" s="11" t="s">
        <v>1094</v>
      </c>
      <c r="C20" s="7" t="s">
        <v>605</v>
      </c>
      <c r="D20" s="7">
        <f>COUNTIF('Danh mục API'!C:C,A20)</f>
      </c>
      <c r="E20" s="55" t="s">
        <v>441</v>
      </c>
      <c r="F20" s="54" t="s">
        <v>1066</v>
      </c>
      <c r="G20" s="55" t="s">
        <v>40</v>
      </c>
      <c r="H20" s="55" t="s">
        <v>441</v>
      </c>
      <c r="I20" s="55" t="s">
        <v>40</v>
      </c>
      <c r="J20" s="11" t="s">
        <v>1095</v>
      </c>
    </row>
    <row r="21" spans="1:10" x14ac:dyDescent="0.25">
      <c r="A21" s="7" t="s">
        <v>816</v>
      </c>
      <c r="B21" s="11" t="s">
        <v>1096</v>
      </c>
      <c r="C21" s="7" t="s">
        <v>1091</v>
      </c>
      <c r="D21" s="7">
        <f>COUNTIF('Danh mục API'!C:C,A21)</f>
      </c>
      <c r="E21" s="55" t="s">
        <v>1068</v>
      </c>
      <c r="F21" s="55" t="s">
        <v>182</v>
      </c>
      <c r="G21" s="54" t="s">
        <v>1067</v>
      </c>
      <c r="H21" s="55" t="s">
        <v>441</v>
      </c>
      <c r="I21" s="55" t="s">
        <v>40</v>
      </c>
      <c r="J21" s="11" t="s">
        <v>1097</v>
      </c>
    </row>
    <row r="22" spans="1:10" x14ac:dyDescent="0.25">
      <c r="A22" s="7" t="s">
        <v>510</v>
      </c>
      <c r="B22" s="11" t="s">
        <v>1098</v>
      </c>
      <c r="C22" s="7" t="s">
        <v>605</v>
      </c>
      <c r="D22" s="7">
        <f>COUNTIF('Danh mục API'!C:C,A22)</f>
      </c>
      <c r="E22" s="54" t="s">
        <v>1067</v>
      </c>
      <c r="F22" s="55" t="s">
        <v>182</v>
      </c>
      <c r="G22" s="54" t="s">
        <v>1067</v>
      </c>
      <c r="H22" s="55" t="s">
        <v>441</v>
      </c>
      <c r="I22" s="55" t="s">
        <v>40</v>
      </c>
      <c r="J22" s="11" t="s">
        <v>1093</v>
      </c>
    </row>
    <row r="23" spans="1:10" x14ac:dyDescent="0.25">
      <c r="A23" s="7" t="s">
        <v>518</v>
      </c>
      <c r="B23" s="11" t="s">
        <v>1099</v>
      </c>
      <c r="C23" s="7" t="s">
        <v>605</v>
      </c>
      <c r="D23" s="7">
        <f>COUNTIF('Danh mục API'!C:C,A23)</f>
      </c>
      <c r="E23" s="55" t="s">
        <v>441</v>
      </c>
      <c r="F23" s="54" t="s">
        <v>1066</v>
      </c>
      <c r="G23" s="55" t="s">
        <v>40</v>
      </c>
      <c r="H23" s="55" t="s">
        <v>441</v>
      </c>
      <c r="I23" s="55" t="s">
        <v>40</v>
      </c>
      <c r="J23" s="11" t="s">
        <v>40</v>
      </c>
    </row>
    <row r="24" spans="1:10" x14ac:dyDescent="0.25">
      <c r="A24" s="7" t="s">
        <v>524</v>
      </c>
      <c r="B24" s="11" t="s">
        <v>1100</v>
      </c>
      <c r="C24" s="7" t="s">
        <v>605</v>
      </c>
      <c r="D24" s="7">
        <f>COUNTIF('Danh mục API'!C:C,A24)</f>
      </c>
      <c r="E24" s="55" t="s">
        <v>441</v>
      </c>
      <c r="F24" s="54" t="s">
        <v>1066</v>
      </c>
      <c r="G24" s="55" t="s">
        <v>40</v>
      </c>
      <c r="H24" s="55" t="s">
        <v>441</v>
      </c>
      <c r="I24" s="55" t="s">
        <v>40</v>
      </c>
      <c r="J24" s="11" t="s">
        <v>40</v>
      </c>
    </row>
    <row r="25" spans="1:10" x14ac:dyDescent="0.25">
      <c r="A25" s="7" t="s">
        <v>534</v>
      </c>
      <c r="B25" s="11" t="s">
        <v>1101</v>
      </c>
      <c r="C25" s="7" t="s">
        <v>605</v>
      </c>
      <c r="D25" s="7">
        <f>COUNTIF('Danh mục API'!C:C,A25)</f>
      </c>
      <c r="E25" s="54" t="s">
        <v>1066</v>
      </c>
      <c r="F25" s="54" t="s">
        <v>1067</v>
      </c>
      <c r="G25" s="55" t="s">
        <v>40</v>
      </c>
      <c r="H25" s="55" t="s">
        <v>441</v>
      </c>
      <c r="I25" s="55" t="s">
        <v>40</v>
      </c>
      <c r="J25" s="11" t="s">
        <v>1102</v>
      </c>
    </row>
    <row r="26" spans="1:10" x14ac:dyDescent="0.25">
      <c r="A26" s="7" t="s">
        <v>539</v>
      </c>
      <c r="B26" s="11" t="s">
        <v>1103</v>
      </c>
      <c r="C26" s="7" t="s">
        <v>605</v>
      </c>
      <c r="D26" s="7">
        <f>COUNTIF('Danh mục API'!C:C,A26)</f>
      </c>
      <c r="E26" s="54" t="s">
        <v>1066</v>
      </c>
      <c r="F26" s="54" t="s">
        <v>1067</v>
      </c>
      <c r="G26" s="55" t="s">
        <v>40</v>
      </c>
      <c r="H26" s="55" t="s">
        <v>441</v>
      </c>
      <c r="I26" s="55" t="s">
        <v>40</v>
      </c>
      <c r="J26" s="11" t="s">
        <v>1104</v>
      </c>
    </row>
    <row r="27" spans="1:10" x14ac:dyDescent="0.25">
      <c r="A27" s="7" t="s">
        <v>823</v>
      </c>
      <c r="B27" s="11" t="s">
        <v>1105</v>
      </c>
      <c r="C27" s="7" t="s">
        <v>1091</v>
      </c>
      <c r="D27" s="7">
        <f>COUNTIF('Danh mục API'!C:C,A27)</f>
      </c>
      <c r="E27" s="55" t="s">
        <v>1068</v>
      </c>
      <c r="F27" s="55" t="s">
        <v>182</v>
      </c>
      <c r="G27" s="54" t="s">
        <v>1067</v>
      </c>
      <c r="H27" s="55" t="s">
        <v>441</v>
      </c>
      <c r="I27" s="55" t="s">
        <v>40</v>
      </c>
      <c r="J27" s="11" t="s">
        <v>1106</v>
      </c>
    </row>
    <row r="28" spans="1:10" x14ac:dyDescent="0.25">
      <c r="A28" s="7" t="s">
        <v>547</v>
      </c>
      <c r="B28" s="11" t="s">
        <v>1107</v>
      </c>
      <c r="C28" s="7" t="s">
        <v>605</v>
      </c>
      <c r="D28" s="7">
        <f>COUNTIF('Danh mục API'!C:C,A28)</f>
      </c>
      <c r="E28" s="54" t="s">
        <v>1066</v>
      </c>
      <c r="F28" s="54" t="s">
        <v>1067</v>
      </c>
      <c r="G28" s="55" t="s">
        <v>40</v>
      </c>
      <c r="H28" s="55" t="s">
        <v>441</v>
      </c>
      <c r="I28" s="55" t="s">
        <v>40</v>
      </c>
      <c r="J28" s="11" t="s">
        <v>1108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24" customWidth="1"/>
    <col min="2" max="2" width="44" customWidth="1"/>
    <col min="3" max="3" width="30" customWidth="1"/>
    <col min="4" max="5" width="16" customWidth="1"/>
    <col min="6" max="6" width="18" customWidth="1"/>
    <col min="7" max="7" width="32" customWidth="1"/>
    <col min="8" max="8" width="10" customWidth="1"/>
  </cols>
  <sheetData>
    <row r="1" spans="1:1" x14ac:dyDescent="0.25">
      <c r="A1" s="1" t="s">
        <v>1109</v>
      </c>
    </row>
    <row r="2" spans="1:1" x14ac:dyDescent="0.25">
      <c r="A2" s="2" t="s">
        <v>1110</v>
      </c>
    </row>
    <row r="4" ht="32" customHeight="1" spans="1:8" x14ac:dyDescent="0.25">
      <c r="A4" s="6" t="s">
        <v>1111</v>
      </c>
      <c r="B4" s="6" t="s">
        <v>1112</v>
      </c>
      <c r="C4" s="6" t="s">
        <v>1113</v>
      </c>
      <c r="D4" s="6" t="s">
        <v>112</v>
      </c>
      <c r="E4" s="6" t="s">
        <v>1114</v>
      </c>
      <c r="F4" s="6" t="s">
        <v>2</v>
      </c>
      <c r="G4" s="6" t="s">
        <v>1115</v>
      </c>
      <c r="H4" s="6" t="s">
        <v>1116</v>
      </c>
    </row>
    <row r="5" spans="1:8" x14ac:dyDescent="0.25">
      <c r="A5" s="11" t="s">
        <v>1117</v>
      </c>
      <c r="B5" s="11" t="s">
        <v>1118</v>
      </c>
      <c r="C5" s="11" t="s">
        <v>1119</v>
      </c>
      <c r="D5" s="7" t="s">
        <v>1120</v>
      </c>
      <c r="E5" s="7" t="s">
        <v>27</v>
      </c>
      <c r="F5" s="11" t="s">
        <v>1121</v>
      </c>
      <c r="G5" s="11" t="s">
        <v>1122</v>
      </c>
      <c r="H5" s="7">
        <v>250</v>
      </c>
    </row>
    <row r="6" spans="1:8" x14ac:dyDescent="0.25">
      <c r="A6" s="11" t="s">
        <v>1123</v>
      </c>
      <c r="B6" s="11" t="s">
        <v>1124</v>
      </c>
      <c r="C6" s="11" t="s">
        <v>1125</v>
      </c>
      <c r="D6" s="7" t="s">
        <v>1126</v>
      </c>
      <c r="E6" s="7" t="s">
        <v>27</v>
      </c>
      <c r="F6" s="11" t="s">
        <v>1127</v>
      </c>
      <c r="G6" s="11" t="s">
        <v>1128</v>
      </c>
      <c r="H6" s="7">
        <v>60</v>
      </c>
    </row>
    <row r="7" spans="1:8" x14ac:dyDescent="0.25">
      <c r="A7" s="11" t="s">
        <v>1129</v>
      </c>
      <c r="B7" s="11" t="s">
        <v>1130</v>
      </c>
      <c r="C7" s="11" t="s">
        <v>1131</v>
      </c>
      <c r="D7" s="7" t="s">
        <v>24</v>
      </c>
      <c r="E7" s="7" t="s">
        <v>27</v>
      </c>
      <c r="F7" s="11" t="s">
        <v>1132</v>
      </c>
      <c r="G7" s="11" t="s">
        <v>1133</v>
      </c>
      <c r="H7" s="7">
        <v>394</v>
      </c>
    </row>
    <row r="8" spans="1:8" x14ac:dyDescent="0.25">
      <c r="A8" s="11" t="s">
        <v>1134</v>
      </c>
      <c r="B8" s="11" t="s">
        <v>1135</v>
      </c>
      <c r="C8" s="11" t="s">
        <v>1136</v>
      </c>
      <c r="D8" s="7" t="s">
        <v>1137</v>
      </c>
      <c r="E8" s="7" t="s">
        <v>1138</v>
      </c>
      <c r="F8" s="11" t="s">
        <v>1139</v>
      </c>
      <c r="G8" s="11" t="s">
        <v>1140</v>
      </c>
      <c r="H8" s="7">
        <v>120</v>
      </c>
    </row>
    <row r="9" spans="1:8" x14ac:dyDescent="0.25">
      <c r="A9" s="11" t="s">
        <v>1141</v>
      </c>
      <c r="B9" s="11" t="s">
        <v>1142</v>
      </c>
      <c r="C9" s="11" t="s">
        <v>1143</v>
      </c>
      <c r="D9" s="7" t="s">
        <v>30</v>
      </c>
      <c r="E9" s="7" t="s">
        <v>33</v>
      </c>
      <c r="F9" s="11" t="s">
        <v>1144</v>
      </c>
      <c r="G9" s="11" t="s">
        <v>75</v>
      </c>
      <c r="H9" s="7">
        <v>30</v>
      </c>
    </row>
    <row r="10" spans="1:8" x14ac:dyDescent="0.25">
      <c r="A10" s="11" t="s">
        <v>1145</v>
      </c>
      <c r="B10" s="11" t="s">
        <v>1146</v>
      </c>
      <c r="C10" s="11" t="s">
        <v>1147</v>
      </c>
      <c r="D10" s="7" t="s">
        <v>24</v>
      </c>
      <c r="E10" s="7" t="s">
        <v>27</v>
      </c>
      <c r="F10" s="11" t="s">
        <v>1148</v>
      </c>
      <c r="G10" s="11" t="s">
        <v>1149</v>
      </c>
      <c r="H10" s="7">
        <v>40</v>
      </c>
    </row>
    <row r="11" spans="1:8" x14ac:dyDescent="0.25">
      <c r="A11" s="11" t="s">
        <v>1150</v>
      </c>
      <c r="B11" s="11" t="s">
        <v>1151</v>
      </c>
      <c r="C11" s="11" t="s">
        <v>1152</v>
      </c>
      <c r="D11" s="7" t="s">
        <v>1120</v>
      </c>
      <c r="E11" s="7" t="s">
        <v>27</v>
      </c>
      <c r="F11" s="11" t="s">
        <v>1153</v>
      </c>
      <c r="G11" s="11" t="s">
        <v>1154</v>
      </c>
      <c r="H11" s="7">
        <v>20</v>
      </c>
    </row>
    <row r="12" spans="1:8" x14ac:dyDescent="0.25">
      <c r="A12" s="11" t="s">
        <v>1155</v>
      </c>
      <c r="B12" s="11" t="s">
        <v>1156</v>
      </c>
      <c r="C12" s="11" t="s">
        <v>1157</v>
      </c>
      <c r="D12" s="7" t="s">
        <v>24</v>
      </c>
      <c r="E12" s="7" t="s">
        <v>27</v>
      </c>
      <c r="F12" s="11" t="s">
        <v>1153</v>
      </c>
      <c r="G12" s="11" t="s">
        <v>1158</v>
      </c>
      <c r="H12" s="7">
        <v>15</v>
      </c>
    </row>
    <row r="13" spans="1:8" x14ac:dyDescent="0.25">
      <c r="A13" s="11" t="s">
        <v>1159</v>
      </c>
      <c r="B13" s="11" t="s">
        <v>1160</v>
      </c>
      <c r="C13" s="11" t="s">
        <v>1161</v>
      </c>
      <c r="D13" s="7" t="s">
        <v>27</v>
      </c>
      <c r="E13" s="7" t="s">
        <v>24</v>
      </c>
      <c r="F13" s="11" t="s">
        <v>1162</v>
      </c>
      <c r="G13" s="11" t="s">
        <v>1163</v>
      </c>
      <c r="H13" s="7">
        <v>10</v>
      </c>
    </row>
    <row r="14" spans="1:8" x14ac:dyDescent="0.25">
      <c r="A14" s="11" t="s">
        <v>1164</v>
      </c>
      <c r="B14" s="11" t="s">
        <v>1165</v>
      </c>
      <c r="C14" s="11" t="s">
        <v>1166</v>
      </c>
      <c r="D14" s="7" t="s">
        <v>1167</v>
      </c>
      <c r="E14" s="7" t="s">
        <v>1168</v>
      </c>
      <c r="F14" s="11" t="s">
        <v>1162</v>
      </c>
      <c r="G14" s="11" t="s">
        <v>1169</v>
      </c>
      <c r="H14" s="7">
        <v>60</v>
      </c>
    </row>
    <row r="15" spans="1:8" x14ac:dyDescent="0.25">
      <c r="A15" s="11" t="s">
        <v>1170</v>
      </c>
      <c r="B15" s="11" t="s">
        <v>1171</v>
      </c>
      <c r="C15" s="11" t="s">
        <v>1172</v>
      </c>
      <c r="D15" s="7" t="s">
        <v>1173</v>
      </c>
      <c r="E15" s="7" t="s">
        <v>1168</v>
      </c>
      <c r="F15" s="11" t="s">
        <v>1174</v>
      </c>
      <c r="G15" s="11" t="s">
        <v>869</v>
      </c>
      <c r="H15" s="7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6" customWidth="1"/>
    <col min="2" max="2" width="28" customWidth="1"/>
    <col min="3" max="3" width="90" customWidth="1"/>
    <col min="4" max="4" width="12" customWidth="1"/>
    <col min="5" max="5" width="10" customWidth="1"/>
  </cols>
  <sheetData>
    <row r="1" spans="1:1" x14ac:dyDescent="0.25">
      <c r="A1" s="1" t="s">
        <v>1175</v>
      </c>
    </row>
    <row r="4" ht="32" customHeight="1" spans="1:5" x14ac:dyDescent="0.25">
      <c r="A4" s="6" t="s">
        <v>1176</v>
      </c>
      <c r="B4" s="6" t="s">
        <v>1177</v>
      </c>
      <c r="C4" s="6" t="s">
        <v>1178</v>
      </c>
      <c r="D4" s="6" t="s">
        <v>112</v>
      </c>
      <c r="E4" s="6" t="s">
        <v>1179</v>
      </c>
    </row>
    <row r="5" spans="1:5" x14ac:dyDescent="0.25">
      <c r="A5" s="7" t="s">
        <v>1180</v>
      </c>
      <c r="B5" s="7" t="s">
        <v>1181</v>
      </c>
      <c r="C5" s="11" t="s">
        <v>1182</v>
      </c>
      <c r="D5" s="7" t="s">
        <v>24</v>
      </c>
      <c r="E5" s="7" t="s">
        <v>617</v>
      </c>
    </row>
    <row r="6" spans="1:5" x14ac:dyDescent="0.25">
      <c r="A6" s="7" t="s">
        <v>1180</v>
      </c>
      <c r="B6" s="7" t="s">
        <v>1183</v>
      </c>
      <c r="C6" s="11" t="s">
        <v>1184</v>
      </c>
      <c r="D6" s="7" t="s">
        <v>24</v>
      </c>
      <c r="E6" s="7" t="s">
        <v>617</v>
      </c>
    </row>
    <row r="7" spans="1:5" x14ac:dyDescent="0.25">
      <c r="A7" s="7" t="s">
        <v>1180</v>
      </c>
      <c r="B7" s="7" t="s">
        <v>1185</v>
      </c>
      <c r="C7" s="11" t="s">
        <v>1186</v>
      </c>
      <c r="D7" s="7" t="s">
        <v>24</v>
      </c>
      <c r="E7" s="7" t="s">
        <v>617</v>
      </c>
    </row>
    <row r="8" spans="1:5" x14ac:dyDescent="0.25">
      <c r="A8" s="7" t="s">
        <v>1187</v>
      </c>
      <c r="B8" s="7" t="s">
        <v>120</v>
      </c>
      <c r="C8" s="11" t="s">
        <v>1188</v>
      </c>
      <c r="D8" s="7" t="s">
        <v>24</v>
      </c>
      <c r="E8" s="7" t="s">
        <v>627</v>
      </c>
    </row>
    <row r="9" spans="1:5" x14ac:dyDescent="0.25">
      <c r="A9" s="7" t="s">
        <v>1187</v>
      </c>
      <c r="B9" s="7" t="s">
        <v>1189</v>
      </c>
      <c r="C9" s="11" t="s">
        <v>1190</v>
      </c>
      <c r="D9" s="7" t="s">
        <v>24</v>
      </c>
      <c r="E9" s="7" t="s">
        <v>627</v>
      </c>
    </row>
    <row r="10" spans="1:5" x14ac:dyDescent="0.25">
      <c r="A10" s="7" t="s">
        <v>637</v>
      </c>
      <c r="B10" s="7" t="s">
        <v>1191</v>
      </c>
      <c r="C10" s="11" t="s">
        <v>1192</v>
      </c>
      <c r="D10" s="7" t="s">
        <v>24</v>
      </c>
      <c r="E10" s="7" t="s">
        <v>635</v>
      </c>
    </row>
    <row r="11" spans="1:5" x14ac:dyDescent="0.25">
      <c r="A11" s="7" t="s">
        <v>637</v>
      </c>
      <c r="B11" s="7" t="s">
        <v>1193</v>
      </c>
      <c r="C11" s="11" t="s">
        <v>1194</v>
      </c>
      <c r="D11" s="7" t="s">
        <v>24</v>
      </c>
      <c r="E11" s="7" t="s">
        <v>635</v>
      </c>
    </row>
    <row r="12" spans="1:5" x14ac:dyDescent="0.25">
      <c r="A12" s="7" t="s">
        <v>1195</v>
      </c>
      <c r="B12" s="7" t="s">
        <v>1196</v>
      </c>
      <c r="C12" s="11" t="s">
        <v>1197</v>
      </c>
      <c r="D12" s="7" t="s">
        <v>27</v>
      </c>
      <c r="E12" s="7" t="s">
        <v>623</v>
      </c>
    </row>
    <row r="13" spans="1:5" x14ac:dyDescent="0.25">
      <c r="A13" s="7" t="s">
        <v>1195</v>
      </c>
      <c r="B13" s="7" t="s">
        <v>1198</v>
      </c>
      <c r="C13" s="11" t="s">
        <v>1199</v>
      </c>
      <c r="D13" s="7" t="s">
        <v>27</v>
      </c>
      <c r="E13" s="7" t="s">
        <v>623</v>
      </c>
    </row>
    <row r="14" spans="1:5" x14ac:dyDescent="0.25">
      <c r="A14" s="7" t="s">
        <v>1195</v>
      </c>
      <c r="B14" s="7" t="s">
        <v>1200</v>
      </c>
      <c r="C14" s="11" t="s">
        <v>1201</v>
      </c>
      <c r="D14" s="7" t="s">
        <v>27</v>
      </c>
      <c r="E14" s="7" t="s">
        <v>623</v>
      </c>
    </row>
    <row r="15" spans="1:5" x14ac:dyDescent="0.25">
      <c r="A15" s="7" t="s">
        <v>1195</v>
      </c>
      <c r="B15" s="7" t="s">
        <v>1202</v>
      </c>
      <c r="C15" s="11" t="s">
        <v>1203</v>
      </c>
      <c r="D15" s="7" t="s">
        <v>27</v>
      </c>
      <c r="E15" s="7" t="s">
        <v>623</v>
      </c>
    </row>
    <row r="16" spans="1:5" x14ac:dyDescent="0.25">
      <c r="A16" s="7" t="s">
        <v>1195</v>
      </c>
      <c r="B16" s="7" t="s">
        <v>1204</v>
      </c>
      <c r="C16" s="11" t="s">
        <v>1205</v>
      </c>
      <c r="D16" s="7" t="s">
        <v>27</v>
      </c>
      <c r="E16" s="7" t="s">
        <v>631</v>
      </c>
    </row>
    <row r="17" spans="1:5" x14ac:dyDescent="0.25">
      <c r="A17" s="7" t="s">
        <v>1195</v>
      </c>
      <c r="B17" s="7" t="s">
        <v>1206</v>
      </c>
      <c r="C17" s="11" t="s">
        <v>1207</v>
      </c>
      <c r="D17" s="7" t="s">
        <v>1208</v>
      </c>
      <c r="E17" s="7" t="s">
        <v>176</v>
      </c>
    </row>
    <row r="18" spans="1:5" x14ac:dyDescent="0.25">
      <c r="A18" s="7" t="s">
        <v>1195</v>
      </c>
      <c r="B18" s="7" t="s">
        <v>1209</v>
      </c>
      <c r="C18" s="11" t="s">
        <v>1210</v>
      </c>
      <c r="D18" s="7" t="s">
        <v>1126</v>
      </c>
      <c r="E18" s="7" t="s">
        <v>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5" customWidth="1"/>
    <col min="2" max="2" width="34" customWidth="1"/>
    <col min="3" max="3" width="60" customWidth="1"/>
    <col min="4" max="4" width="18" customWidth="1"/>
    <col min="5" max="5" width="16" customWidth="1"/>
    <col min="6" max="6" width="12" customWidth="1"/>
    <col min="7" max="7" width="14" customWidth="1"/>
  </cols>
  <sheetData>
    <row r="1" spans="1:1" x14ac:dyDescent="0.25">
      <c r="A1" s="1" t="s">
        <v>1211</v>
      </c>
    </row>
    <row r="4" ht="32" customHeight="1" spans="1:7" x14ac:dyDescent="0.25">
      <c r="A4" s="6" t="s">
        <v>98</v>
      </c>
      <c r="B4" s="6" t="s">
        <v>1212</v>
      </c>
      <c r="C4" s="6" t="s">
        <v>46</v>
      </c>
      <c r="D4" s="6" t="s">
        <v>1213</v>
      </c>
      <c r="E4" s="6" t="s">
        <v>1114</v>
      </c>
      <c r="F4" s="6" t="s">
        <v>1214</v>
      </c>
      <c r="G4" s="6" t="s">
        <v>1179</v>
      </c>
    </row>
    <row r="5" spans="1:7" x14ac:dyDescent="0.25">
      <c r="A5" s="7">
        <v>1</v>
      </c>
      <c r="B5" s="11" t="s">
        <v>1215</v>
      </c>
      <c r="C5" s="11" t="s">
        <v>1216</v>
      </c>
      <c r="D5" s="7" t="s">
        <v>1217</v>
      </c>
      <c r="E5" s="7" t="s">
        <v>1173</v>
      </c>
      <c r="F5" s="7" t="s">
        <v>53</v>
      </c>
      <c r="G5" s="7" t="s">
        <v>600</v>
      </c>
    </row>
    <row r="6" spans="1:7" x14ac:dyDescent="0.25">
      <c r="A6" s="7">
        <v>2</v>
      </c>
      <c r="B6" s="11" t="s">
        <v>1218</v>
      </c>
      <c r="C6" s="11" t="s">
        <v>1219</v>
      </c>
      <c r="D6" s="7" t="s">
        <v>33</v>
      </c>
      <c r="E6" s="7" t="s">
        <v>1220</v>
      </c>
      <c r="F6" s="7" t="s">
        <v>53</v>
      </c>
      <c r="G6" s="7" t="s">
        <v>592</v>
      </c>
    </row>
    <row r="7" spans="1:7" x14ac:dyDescent="0.25">
      <c r="A7" s="7">
        <v>3</v>
      </c>
      <c r="B7" s="11" t="s">
        <v>1221</v>
      </c>
      <c r="C7" s="11" t="s">
        <v>1222</v>
      </c>
      <c r="D7" s="7" t="s">
        <v>24</v>
      </c>
      <c r="E7" s="7" t="s">
        <v>1223</v>
      </c>
      <c r="F7" s="7" t="s">
        <v>1224</v>
      </c>
      <c r="G7" s="7" t="s">
        <v>597</v>
      </c>
    </row>
    <row r="8" spans="1:7" x14ac:dyDescent="0.25">
      <c r="A8" s="7">
        <v>4</v>
      </c>
      <c r="B8" s="11" t="s">
        <v>1225</v>
      </c>
      <c r="C8" s="11" t="s">
        <v>1226</v>
      </c>
      <c r="D8" s="7" t="s">
        <v>36</v>
      </c>
      <c r="E8" s="7" t="s">
        <v>1173</v>
      </c>
      <c r="F8" s="7" t="s">
        <v>1227</v>
      </c>
      <c r="G8" s="7" t="s">
        <v>1228</v>
      </c>
    </row>
    <row r="9" spans="1:7" x14ac:dyDescent="0.25">
      <c r="A9" s="7">
        <v>5</v>
      </c>
      <c r="B9" s="11" t="s">
        <v>1229</v>
      </c>
      <c r="C9" s="11" t="s">
        <v>1230</v>
      </c>
      <c r="D9" s="7" t="s">
        <v>33</v>
      </c>
      <c r="E9" s="7" t="s">
        <v>1173</v>
      </c>
      <c r="F9" s="7" t="s">
        <v>1231</v>
      </c>
      <c r="G9" s="7" t="s">
        <v>1232</v>
      </c>
    </row>
    <row r="10" spans="1:7" x14ac:dyDescent="0.25">
      <c r="A10" s="7">
        <v>6</v>
      </c>
      <c r="B10" s="11" t="s">
        <v>619</v>
      </c>
      <c r="C10" s="11" t="s">
        <v>1233</v>
      </c>
      <c r="D10" s="7" t="s">
        <v>24</v>
      </c>
      <c r="E10" s="7" t="s">
        <v>27</v>
      </c>
      <c r="F10" s="7" t="s">
        <v>53</v>
      </c>
      <c r="G10" s="7" t="s">
        <v>617</v>
      </c>
    </row>
    <row r="11" spans="1:7" x14ac:dyDescent="0.25">
      <c r="A11" s="7">
        <v>7</v>
      </c>
      <c r="B11" s="11" t="s">
        <v>1234</v>
      </c>
      <c r="C11" s="11" t="s">
        <v>1235</v>
      </c>
      <c r="D11" s="7" t="s">
        <v>24</v>
      </c>
      <c r="E11" s="7" t="s">
        <v>1236</v>
      </c>
      <c r="F11" s="7" t="s">
        <v>77</v>
      </c>
      <c r="G11" s="7" t="s">
        <v>886</v>
      </c>
    </row>
    <row r="12" spans="1:7" x14ac:dyDescent="0.25">
      <c r="A12" s="7">
        <v>8</v>
      </c>
      <c r="B12" s="11" t="s">
        <v>879</v>
      </c>
      <c r="C12" s="11" t="s">
        <v>1237</v>
      </c>
      <c r="D12" s="7" t="s">
        <v>27</v>
      </c>
      <c r="E12" s="7" t="s">
        <v>27</v>
      </c>
      <c r="F12" s="7" t="s">
        <v>1238</v>
      </c>
      <c r="G12" s="7" t="s">
        <v>877</v>
      </c>
    </row>
    <row r="13" spans="1:7" x14ac:dyDescent="0.25">
      <c r="A13" s="7">
        <v>9</v>
      </c>
      <c r="B13" s="11" t="s">
        <v>873</v>
      </c>
      <c r="C13" s="11" t="s">
        <v>1239</v>
      </c>
      <c r="D13" s="7" t="s">
        <v>30</v>
      </c>
      <c r="E13" s="7" t="s">
        <v>27</v>
      </c>
      <c r="F13" s="7" t="s">
        <v>1238</v>
      </c>
      <c r="G13" s="7" t="s">
        <v>871</v>
      </c>
    </row>
    <row r="14" spans="1:7" x14ac:dyDescent="0.25">
      <c r="A14" s="7">
        <v>10</v>
      </c>
      <c r="B14" s="11" t="s">
        <v>1240</v>
      </c>
      <c r="C14" s="11" t="s">
        <v>1241</v>
      </c>
      <c r="D14" s="7" t="s">
        <v>1137</v>
      </c>
      <c r="E14" s="7" t="s">
        <v>27</v>
      </c>
      <c r="F14" s="7" t="s">
        <v>77</v>
      </c>
      <c r="G14" s="7" t="s">
        <v>1242</v>
      </c>
    </row>
    <row r="15" spans="1:7" x14ac:dyDescent="0.25">
      <c r="A15" s="7">
        <v>11</v>
      </c>
      <c r="B15" s="11" t="s">
        <v>1243</v>
      </c>
      <c r="C15" s="11" t="s">
        <v>1244</v>
      </c>
      <c r="D15" s="7" t="s">
        <v>24</v>
      </c>
      <c r="E15" s="7" t="s">
        <v>1173</v>
      </c>
      <c r="F15" s="7" t="s">
        <v>81</v>
      </c>
      <c r="G15" s="7" t="s">
        <v>1245</v>
      </c>
    </row>
    <row r="16" spans="1:7" x14ac:dyDescent="0.25">
      <c r="A16" s="7">
        <v>12</v>
      </c>
      <c r="B16" s="11" t="s">
        <v>884</v>
      </c>
      <c r="C16" s="11" t="s">
        <v>1246</v>
      </c>
      <c r="D16" s="7" t="s">
        <v>1247</v>
      </c>
      <c r="E16" s="7" t="s">
        <v>1173</v>
      </c>
      <c r="F16" s="7" t="s">
        <v>81</v>
      </c>
      <c r="G16" s="7" t="s">
        <v>881</v>
      </c>
    </row>
    <row r="17" spans="1:7" x14ac:dyDescent="0.25">
      <c r="A17" s="7">
        <v>13</v>
      </c>
      <c r="B17" s="11" t="s">
        <v>892</v>
      </c>
      <c r="C17" s="11" t="s">
        <v>1248</v>
      </c>
      <c r="D17" s="7" t="s">
        <v>24</v>
      </c>
      <c r="E17" s="7" t="s">
        <v>27</v>
      </c>
      <c r="F17" s="7" t="s">
        <v>81</v>
      </c>
      <c r="G17" s="7" t="s">
        <v>890</v>
      </c>
    </row>
    <row r="18" spans="1:7" x14ac:dyDescent="0.25">
      <c r="A18" s="7">
        <v>14</v>
      </c>
      <c r="B18" s="11" t="s">
        <v>1249</v>
      </c>
      <c r="C18" s="11" t="s">
        <v>1250</v>
      </c>
      <c r="D18" s="7" t="s">
        <v>1251</v>
      </c>
      <c r="E18" s="7" t="s">
        <v>1173</v>
      </c>
      <c r="F18" s="7" t="s">
        <v>85</v>
      </c>
      <c r="G18" s="7" t="s">
        <v>1252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1" customWidth="1"/>
    <col min="3" max="3" width="56" customWidth="1"/>
    <col min="4" max="4" width="24" customWidth="1"/>
    <col min="5" max="5" width="7" customWidth="1"/>
    <col min="6" max="6" width="14" customWidth="1"/>
    <col min="7" max="7" width="10" customWidth="1"/>
    <col min="8" max="8" width="40" customWidth="1"/>
  </cols>
  <sheetData>
    <row r="1" spans="1:1" x14ac:dyDescent="0.25">
      <c r="A1" s="1" t="s">
        <v>1253</v>
      </c>
    </row>
    <row r="4" ht="32" customHeight="1" spans="1:8" x14ac:dyDescent="0.25">
      <c r="A4" s="6" t="s">
        <v>98</v>
      </c>
      <c r="B4" s="6" t="s">
        <v>100</v>
      </c>
      <c r="C4" s="6" t="s">
        <v>46</v>
      </c>
      <c r="D4" s="6" t="s">
        <v>1254</v>
      </c>
      <c r="E4" s="6" t="s">
        <v>1255</v>
      </c>
      <c r="F4" s="6" t="s">
        <v>1256</v>
      </c>
      <c r="G4" s="6" t="s">
        <v>1257</v>
      </c>
      <c r="H4" s="6" t="s">
        <v>1258</v>
      </c>
    </row>
    <row r="5" spans="1:8" x14ac:dyDescent="0.25">
      <c r="A5" s="7">
        <v>1</v>
      </c>
      <c r="B5" s="7" t="s">
        <v>181</v>
      </c>
      <c r="C5" s="11" t="s">
        <v>1259</v>
      </c>
      <c r="D5" s="11" t="s">
        <v>1260</v>
      </c>
      <c r="E5" s="7" t="s">
        <v>1261</v>
      </c>
      <c r="F5" s="7" t="s">
        <v>36</v>
      </c>
      <c r="G5" s="7" t="s">
        <v>1262</v>
      </c>
      <c r="H5" s="11" t="s">
        <v>1263</v>
      </c>
    </row>
    <row r="6" spans="1:8" x14ac:dyDescent="0.25">
      <c r="A6" s="7">
        <v>2</v>
      </c>
      <c r="B6" s="7" t="s">
        <v>307</v>
      </c>
      <c r="C6" s="11" t="s">
        <v>1264</v>
      </c>
      <c r="D6" s="11" t="s">
        <v>1265</v>
      </c>
      <c r="E6" s="7" t="s">
        <v>1261</v>
      </c>
      <c r="F6" s="7" t="s">
        <v>33</v>
      </c>
      <c r="G6" s="7" t="s">
        <v>1262</v>
      </c>
      <c r="H6" s="11" t="s">
        <v>1266</v>
      </c>
    </row>
    <row r="7" spans="1:8" x14ac:dyDescent="0.25">
      <c r="A7" s="7">
        <v>3</v>
      </c>
      <c r="B7" s="7" t="s">
        <v>321</v>
      </c>
      <c r="C7" s="11" t="s">
        <v>1267</v>
      </c>
      <c r="D7" s="11" t="s">
        <v>1268</v>
      </c>
      <c r="E7" s="28" t="s">
        <v>1269</v>
      </c>
      <c r="F7" s="7" t="s">
        <v>1270</v>
      </c>
      <c r="G7" s="7" t="s">
        <v>1271</v>
      </c>
      <c r="H7" s="11" t="s">
        <v>1272</v>
      </c>
    </row>
    <row r="8" spans="1:8" x14ac:dyDescent="0.25">
      <c r="A8" s="7">
        <v>4</v>
      </c>
      <c r="B8" s="7" t="s">
        <v>372</v>
      </c>
      <c r="C8" s="11" t="s">
        <v>1273</v>
      </c>
      <c r="D8" s="11" t="s">
        <v>1274</v>
      </c>
      <c r="E8" s="7" t="s">
        <v>1261</v>
      </c>
      <c r="F8" s="7" t="s">
        <v>1217</v>
      </c>
      <c r="G8" s="7" t="s">
        <v>1262</v>
      </c>
      <c r="H8" s="11" t="s">
        <v>1275</v>
      </c>
    </row>
    <row r="9" spans="1:8" x14ac:dyDescent="0.25">
      <c r="A9" s="7">
        <v>5</v>
      </c>
      <c r="B9" s="7" t="s">
        <v>386</v>
      </c>
      <c r="C9" s="11" t="s">
        <v>1276</v>
      </c>
      <c r="D9" s="11" t="s">
        <v>1277</v>
      </c>
      <c r="E9" s="7" t="s">
        <v>1261</v>
      </c>
      <c r="F9" s="7" t="s">
        <v>36</v>
      </c>
      <c r="G9" s="7" t="s">
        <v>1262</v>
      </c>
      <c r="H9" s="11" t="s">
        <v>40</v>
      </c>
    </row>
    <row r="10" spans="1:8" x14ac:dyDescent="0.25">
      <c r="A10" s="7">
        <v>6</v>
      </c>
      <c r="B10" s="7" t="s">
        <v>410</v>
      </c>
      <c r="C10" s="11" t="s">
        <v>1278</v>
      </c>
      <c r="D10" s="11" t="s">
        <v>1279</v>
      </c>
      <c r="E10" s="7" t="s">
        <v>1261</v>
      </c>
      <c r="F10" s="7" t="s">
        <v>33</v>
      </c>
      <c r="G10" s="7" t="s">
        <v>1262</v>
      </c>
      <c r="H10" s="11" t="s">
        <v>1280</v>
      </c>
    </row>
    <row r="11" spans="1:8" x14ac:dyDescent="0.25">
      <c r="A11" s="7">
        <v>7</v>
      </c>
      <c r="B11" s="7" t="s">
        <v>419</v>
      </c>
      <c r="C11" s="11" t="s">
        <v>1281</v>
      </c>
      <c r="D11" s="11" t="s">
        <v>1282</v>
      </c>
      <c r="E11" s="28" t="s">
        <v>1269</v>
      </c>
      <c r="F11" s="7" t="s">
        <v>36</v>
      </c>
      <c r="G11" s="7" t="s">
        <v>1262</v>
      </c>
      <c r="H11" s="11" t="s">
        <v>1283</v>
      </c>
    </row>
    <row r="12" spans="1:8" x14ac:dyDescent="0.25">
      <c r="A12" s="7">
        <v>8</v>
      </c>
      <c r="B12" s="7" t="s">
        <v>454</v>
      </c>
      <c r="C12" s="11" t="s">
        <v>1284</v>
      </c>
      <c r="D12" s="11" t="s">
        <v>1285</v>
      </c>
      <c r="E12" s="28" t="s">
        <v>1269</v>
      </c>
      <c r="F12" s="7" t="s">
        <v>1286</v>
      </c>
      <c r="G12" s="7" t="s">
        <v>1271</v>
      </c>
      <c r="H12" s="11" t="s">
        <v>1287</v>
      </c>
    </row>
    <row r="13" spans="1:8" x14ac:dyDescent="0.25">
      <c r="A13" s="7">
        <v>9</v>
      </c>
      <c r="B13" s="7" t="s">
        <v>470</v>
      </c>
      <c r="C13" s="11" t="s">
        <v>1288</v>
      </c>
      <c r="D13" s="11" t="s">
        <v>1289</v>
      </c>
      <c r="E13" s="28" t="s">
        <v>1269</v>
      </c>
      <c r="F13" s="7" t="s">
        <v>27</v>
      </c>
      <c r="G13" s="7" t="s">
        <v>124</v>
      </c>
      <c r="H13" s="11" t="s">
        <v>1290</v>
      </c>
    </row>
    <row r="14" spans="1:8" x14ac:dyDescent="0.25">
      <c r="A14" s="7">
        <v>10</v>
      </c>
      <c r="B14" s="7" t="s">
        <v>481</v>
      </c>
      <c r="C14" s="11" t="s">
        <v>1291</v>
      </c>
      <c r="D14" s="11" t="s">
        <v>1292</v>
      </c>
      <c r="E14" s="28" t="s">
        <v>1269</v>
      </c>
      <c r="F14" s="7" t="s">
        <v>33</v>
      </c>
      <c r="G14" s="7" t="s">
        <v>1262</v>
      </c>
      <c r="H14" s="11" t="s">
        <v>1293</v>
      </c>
    </row>
    <row r="15" spans="1:8" x14ac:dyDescent="0.25">
      <c r="A15" s="7">
        <v>11</v>
      </c>
      <c r="B15" s="7" t="s">
        <v>807</v>
      </c>
      <c r="C15" s="11" t="s">
        <v>1294</v>
      </c>
      <c r="D15" s="11" t="s">
        <v>1295</v>
      </c>
      <c r="E15" s="28" t="s">
        <v>1269</v>
      </c>
      <c r="F15" s="7" t="s">
        <v>33</v>
      </c>
      <c r="G15" s="7" t="s">
        <v>1296</v>
      </c>
      <c r="H15" s="11" t="s">
        <v>40</v>
      </c>
    </row>
    <row r="16" spans="1:8" x14ac:dyDescent="0.25">
      <c r="A16" s="7">
        <v>12</v>
      </c>
      <c r="B16" s="7" t="s">
        <v>816</v>
      </c>
      <c r="C16" s="11" t="s">
        <v>1297</v>
      </c>
      <c r="D16" s="11" t="s">
        <v>1298</v>
      </c>
      <c r="E16" s="28" t="s">
        <v>1269</v>
      </c>
      <c r="F16" s="7" t="s">
        <v>33</v>
      </c>
      <c r="G16" s="7" t="s">
        <v>1296</v>
      </c>
      <c r="H16" s="11" t="s">
        <v>40</v>
      </c>
    </row>
    <row r="17" spans="1:8" x14ac:dyDescent="0.25">
      <c r="A17" s="7">
        <v>13</v>
      </c>
      <c r="B17" s="7" t="s">
        <v>539</v>
      </c>
      <c r="C17" s="11" t="s">
        <v>1299</v>
      </c>
      <c r="D17" s="11" t="s">
        <v>1300</v>
      </c>
      <c r="E17" s="7" t="s">
        <v>1261</v>
      </c>
      <c r="F17" s="7" t="s">
        <v>33</v>
      </c>
      <c r="G17" s="7" t="s">
        <v>1262</v>
      </c>
      <c r="H17" s="11" t="s">
        <v>40</v>
      </c>
    </row>
    <row r="18" spans="1:8" x14ac:dyDescent="0.25">
      <c r="A18" s="7">
        <v>14</v>
      </c>
      <c r="B18" s="7" t="s">
        <v>119</v>
      </c>
      <c r="C18" s="11" t="s">
        <v>1301</v>
      </c>
      <c r="D18" s="11" t="s">
        <v>1302</v>
      </c>
      <c r="E18" s="28" t="s">
        <v>1269</v>
      </c>
      <c r="F18" s="7" t="s">
        <v>24</v>
      </c>
      <c r="G18" s="7" t="s">
        <v>124</v>
      </c>
      <c r="H18" s="11" t="s">
        <v>1303</v>
      </c>
    </row>
    <row r="19" spans="1:8" x14ac:dyDescent="0.25">
      <c r="A19" s="7">
        <v>15</v>
      </c>
      <c r="B19" s="7" t="s">
        <v>119</v>
      </c>
      <c r="C19" s="11" t="s">
        <v>1304</v>
      </c>
      <c r="D19" s="11" t="s">
        <v>1305</v>
      </c>
      <c r="E19" s="28" t="s">
        <v>1269</v>
      </c>
      <c r="F19" s="7" t="s">
        <v>24</v>
      </c>
      <c r="G19" s="7" t="s">
        <v>1262</v>
      </c>
      <c r="H19" s="11" t="s">
        <v>1306</v>
      </c>
    </row>
    <row r="20" spans="1:8" x14ac:dyDescent="0.25">
      <c r="A20" s="7">
        <v>16</v>
      </c>
      <c r="B20" s="7" t="s">
        <v>119</v>
      </c>
      <c r="C20" s="11" t="s">
        <v>1307</v>
      </c>
      <c r="D20" s="11" t="s">
        <v>1308</v>
      </c>
      <c r="E20" s="7" t="s">
        <v>1261</v>
      </c>
      <c r="F20" s="7" t="s">
        <v>27</v>
      </c>
      <c r="G20" s="7" t="s">
        <v>1309</v>
      </c>
      <c r="H20" s="11" t="s">
        <v>1310</v>
      </c>
    </row>
    <row r="21" spans="1:8" x14ac:dyDescent="0.25">
      <c r="A21" s="7">
        <v>17</v>
      </c>
      <c r="B21" s="7" t="s">
        <v>119</v>
      </c>
      <c r="C21" s="11" t="s">
        <v>1311</v>
      </c>
      <c r="D21" s="11" t="s">
        <v>1312</v>
      </c>
      <c r="E21" s="28" t="s">
        <v>1269</v>
      </c>
      <c r="F21" s="7" t="s">
        <v>24</v>
      </c>
      <c r="G21" s="7" t="s">
        <v>1271</v>
      </c>
      <c r="H21" s="11" t="s">
        <v>1313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16" customWidth="1"/>
    <col min="3" max="3" width="14" customWidth="1"/>
    <col min="4" max="6" width="16" customWidth="1"/>
    <col min="7" max="7" width="56" customWidth="1"/>
  </cols>
  <sheetData>
    <row r="1" spans="1:1" x14ac:dyDescent="0.25">
      <c r="A1" s="1" t="s">
        <v>1314</v>
      </c>
    </row>
    <row r="2" spans="1:1" x14ac:dyDescent="0.25">
      <c r="A2" s="2" t="s">
        <v>1315</v>
      </c>
    </row>
    <row r="4" spans="1:1" x14ac:dyDescent="0.25">
      <c r="A4" s="5" t="s">
        <v>1316</v>
      </c>
    </row>
    <row r="5" ht="32" customHeight="1" spans="1:7" x14ac:dyDescent="0.25">
      <c r="A5" s="6" t="s">
        <v>17</v>
      </c>
      <c r="B5" s="6" t="s">
        <v>18</v>
      </c>
      <c r="C5" s="6" t="s">
        <v>113</v>
      </c>
      <c r="D5" s="6" t="s">
        <v>1317</v>
      </c>
      <c r="E5" s="6" t="s">
        <v>1318</v>
      </c>
      <c r="F5" s="6" t="s">
        <v>1319</v>
      </c>
      <c r="G5" s="6" t="s">
        <v>1064</v>
      </c>
    </row>
    <row r="6" spans="1:7" x14ac:dyDescent="0.25">
      <c r="A6" s="7" t="s">
        <v>24</v>
      </c>
      <c r="B6" s="7" t="s">
        <v>25</v>
      </c>
      <c r="C6" s="8">
        <f>SUM('WBS chi tiết'!H5:H166)</f>
      </c>
      <c r="D6" s="56">
        <v>0</v>
      </c>
      <c r="E6" s="8">
        <f>IF(C6=0,0,D6/C6)</f>
      </c>
      <c r="F6" s="9">
        <f>C6/C$11</f>
      </c>
      <c r="G6" s="11" t="s">
        <v>1320</v>
      </c>
    </row>
    <row r="7" spans="1:7" x14ac:dyDescent="0.25">
      <c r="A7" s="7" t="s">
        <v>27</v>
      </c>
      <c r="B7" s="7" t="s">
        <v>28</v>
      </c>
      <c r="C7" s="8">
        <f>SUM('WBS chi tiết'!I5:I166)</f>
      </c>
      <c r="D7" s="56">
        <v>140</v>
      </c>
      <c r="E7" s="8">
        <f>IF(C7=0,0,D7/C7)</f>
      </c>
      <c r="F7" s="9">
        <f>C7/C$11</f>
      </c>
      <c r="G7" s="11" t="s">
        <v>1321</v>
      </c>
    </row>
    <row r="8" spans="1:7" x14ac:dyDescent="0.25">
      <c r="A8" s="7" t="s">
        <v>30</v>
      </c>
      <c r="B8" s="7" t="s">
        <v>31</v>
      </c>
      <c r="C8" s="8">
        <f>SUM('WBS chi tiết'!J5:J166)</f>
      </c>
      <c r="D8" s="56">
        <v>30</v>
      </c>
      <c r="E8" s="8">
        <f>IF(C8=0,0,D8/C8)</f>
      </c>
      <c r="F8" s="9">
        <f>C8/C$11</f>
      </c>
      <c r="G8" s="11" t="s">
        <v>1322</v>
      </c>
    </row>
    <row r="9" spans="1:7" x14ac:dyDescent="0.25">
      <c r="A9" s="7" t="s">
        <v>36</v>
      </c>
      <c r="B9" s="7" t="s">
        <v>37</v>
      </c>
      <c r="C9" s="8">
        <f>SUM('WBS chi tiết'!L5:L166)</f>
      </c>
      <c r="D9" s="56">
        <v>15</v>
      </c>
      <c r="E9" s="8">
        <f>IF(C9=0,0,D9/C9)</f>
      </c>
      <c r="F9" s="9">
        <f>C9/C$11</f>
      </c>
      <c r="G9" s="11" t="s">
        <v>1323</v>
      </c>
    </row>
    <row r="10" spans="1:7" x14ac:dyDescent="0.25">
      <c r="A10" s="7" t="s">
        <v>33</v>
      </c>
      <c r="B10" s="7" t="s">
        <v>34</v>
      </c>
      <c r="C10" s="8">
        <f>SUM('WBS chi tiết'!K5:K166)</f>
      </c>
      <c r="D10" s="56">
        <v>10</v>
      </c>
      <c r="E10" s="8">
        <f>IF(C10=0,0,D10/C10)</f>
      </c>
      <c r="F10" s="9">
        <f>C10/C$11</f>
      </c>
      <c r="G10" s="11" t="s">
        <v>1324</v>
      </c>
    </row>
    <row r="11" spans="1:7" s="3" customFormat="1" x14ac:dyDescent="0.25">
      <c r="A11" s="12" t="s">
        <v>39</v>
      </c>
      <c r="B11" s="12" t="s">
        <v>40</v>
      </c>
      <c r="C11" s="13">
        <f>SUM(C6:C10)</f>
      </c>
      <c r="D11" s="57">
        <f>SUM(D6:D10)</f>
      </c>
      <c r="E11" s="13">
        <f>D11/SUM(C7:C10)</f>
      </c>
      <c r="F11" s="14">
        <f>C11/C$11</f>
      </c>
      <c r="G11" s="15" t="s">
        <v>1325</v>
      </c>
    </row>
    <row r="13" spans="1:1" x14ac:dyDescent="0.25">
      <c r="A13" s="5" t="s">
        <v>1326</v>
      </c>
    </row>
    <row r="14" ht="32" customHeight="1" spans="1:7" x14ac:dyDescent="0.25">
      <c r="A14" s="6" t="s">
        <v>1176</v>
      </c>
      <c r="B14" s="6" t="s">
        <v>1327</v>
      </c>
      <c r="C14" s="6" t="s">
        <v>1328</v>
      </c>
      <c r="D14" s="6" t="s">
        <v>1329</v>
      </c>
      <c r="E14" s="6" t="s">
        <v>1330</v>
      </c>
      <c r="F14" s="6" t="s">
        <v>40</v>
      </c>
      <c r="G14" s="6" t="s">
        <v>1331</v>
      </c>
    </row>
    <row r="15" spans="1:7" x14ac:dyDescent="0.25">
      <c r="A15" s="7" t="s">
        <v>582</v>
      </c>
      <c r="B15" s="8">
        <f>SUMIFS('WBS chi tiết'!H5:H166,'WBS chi tiết'!U5:U166,A15)</f>
      </c>
      <c r="C15" s="9">
        <f>IF($C$6=0,0,B15/$C$6)</f>
      </c>
      <c r="D15" s="7">
        <f>COUNTIFS('WBS chi tiết'!U5:U166,A15,'WBS chi tiết'!H5:H166,"&gt;0")</f>
      </c>
      <c r="E15" s="58">
        <f>B15*$E$11</f>
      </c>
      <c r="F15" s="7"/>
      <c r="G15" s="11" t="s">
        <v>1332</v>
      </c>
    </row>
    <row r="16" spans="1:7" x14ac:dyDescent="0.25">
      <c r="A16" s="7" t="s">
        <v>622</v>
      </c>
      <c r="B16" s="8">
        <f>SUMIFS('WBS chi tiết'!H5:H166,'WBS chi tiết'!U5:U166,A16)</f>
      </c>
      <c r="C16" s="9">
        <f>IF($C$6=0,0,B16/$C$6)</f>
      </c>
      <c r="D16" s="7">
        <f>COUNTIFS('WBS chi tiết'!U5:U166,A16,'WBS chi tiết'!H5:H166,"&gt;0")</f>
      </c>
      <c r="E16" s="58">
        <f>B16*$E$11</f>
      </c>
      <c r="F16" s="7"/>
      <c r="G16" s="11" t="s">
        <v>1333</v>
      </c>
    </row>
    <row r="17" spans="1:7" x14ac:dyDescent="0.25">
      <c r="A17" s="7" t="s">
        <v>607</v>
      </c>
      <c r="B17" s="8">
        <f>SUMIFS('WBS chi tiết'!H5:H166,'WBS chi tiết'!U5:U166,A17)</f>
      </c>
      <c r="C17" s="9">
        <f>IF($C$6=0,0,B17/$C$6)</f>
      </c>
      <c r="D17" s="7">
        <f>COUNTIFS('WBS chi tiết'!U5:U166,A17,'WBS chi tiết'!H5:H166,"&gt;0")</f>
      </c>
      <c r="E17" s="58">
        <f>B17*$E$11</f>
      </c>
      <c r="F17" s="7"/>
      <c r="G17" s="11" t="s">
        <v>1334</v>
      </c>
    </row>
    <row r="18" spans="1:7" x14ac:dyDescent="0.25">
      <c r="A18" s="7" t="s">
        <v>698</v>
      </c>
      <c r="B18" s="8">
        <f>SUMIFS('WBS chi tiết'!H5:H166,'WBS chi tiết'!U5:U166,A18)</f>
      </c>
      <c r="C18" s="9">
        <f>IF($C$6=0,0,B18/$C$6)</f>
      </c>
      <c r="D18" s="7">
        <f>COUNTIFS('WBS chi tiết'!U5:U166,A18,'WBS chi tiết'!H5:H166,"&gt;0")</f>
      </c>
      <c r="E18" s="58">
        <f>B18*$E$11</f>
      </c>
      <c r="F18" s="7"/>
      <c r="G18" s="11" t="s">
        <v>1335</v>
      </c>
    </row>
    <row r="19" spans="1:7" x14ac:dyDescent="0.25">
      <c r="A19" s="7" t="s">
        <v>876</v>
      </c>
      <c r="B19" s="8">
        <f>SUMIFS('WBS chi tiết'!H5:H166,'WBS chi tiết'!U5:U166,A19)</f>
      </c>
      <c r="C19" s="9">
        <f>IF($C$6=0,0,B19/$C$6)</f>
      </c>
      <c r="D19" s="7">
        <f>COUNTIFS('WBS chi tiết'!U5:U166,A19,'WBS chi tiết'!H5:H166,"&gt;0")</f>
      </c>
      <c r="E19" s="58">
        <f>B19*$E$11</f>
      </c>
      <c r="F19" s="7"/>
      <c r="G19" s="11" t="s">
        <v>1336</v>
      </c>
    </row>
    <row r="20" spans="1:7" s="3" customFormat="1" x14ac:dyDescent="0.25">
      <c r="A20" s="12" t="s">
        <v>1337</v>
      </c>
      <c r="B20" s="13">
        <f>SUM(B15:B19)</f>
      </c>
      <c r="C20" s="14">
        <f>SUM(C15:C19)</f>
      </c>
      <c r="D20" s="12">
        <f>SUM(D15:D19)</f>
      </c>
      <c r="E20" s="57">
        <f>SUM(E15:E19)</f>
      </c>
      <c r="F20" s="12"/>
      <c r="G20" s="15">
        <f>IF(ROUND(B20-$C$6,2)=0,"Khớp tổng công Tuấn ở mục 1","LỆCH – kiểm tra cột Hạng mục ở WBS")</f>
      </c>
    </row>
    <row r="22" ht="32" customHeight="1" spans="1:7" x14ac:dyDescent="0.25">
      <c r="A22" s="6" t="s">
        <v>1338</v>
      </c>
      <c r="B22" s="6" t="s">
        <v>1339</v>
      </c>
      <c r="C22" s="6" t="s">
        <v>40</v>
      </c>
      <c r="D22" s="6" t="s">
        <v>40</v>
      </c>
      <c r="E22" s="6" t="s">
        <v>40</v>
      </c>
      <c r="F22" s="6" t="s">
        <v>40</v>
      </c>
      <c r="G22" s="6" t="s">
        <v>1340</v>
      </c>
    </row>
    <row r="23" spans="1:7" x14ac:dyDescent="0.25">
      <c r="A23" s="7" t="s">
        <v>1341</v>
      </c>
      <c r="B23" s="59">
        <f>COUNTIF('Danh mục API'!O:O,"Tuấn")</f>
      </c>
      <c r="C23" s="7"/>
      <c r="D23" s="7"/>
      <c r="E23" s="7"/>
      <c r="F23" s="7"/>
      <c r="G23" s="11" t="s">
        <v>1342</v>
      </c>
    </row>
    <row r="24" spans="1:7" x14ac:dyDescent="0.25">
      <c r="A24" s="7" t="s">
        <v>1343</v>
      </c>
      <c r="B24" s="59">
        <f>COUNTIFS('Danh mục API'!O:O,"Tuấn",'Danh mục API'!K:K,"Mới")</f>
      </c>
      <c r="C24" s="7"/>
      <c r="D24" s="7"/>
      <c r="E24" s="7"/>
      <c r="F24" s="7"/>
      <c r="G24" s="11" t="s">
        <v>40</v>
      </c>
    </row>
    <row r="25" spans="1:7" x14ac:dyDescent="0.25">
      <c r="A25" s="7" t="s">
        <v>1344</v>
      </c>
      <c r="B25" s="59">
        <f>COUNTIFS('Danh mục API'!O:O,"Tuấn",'Danh mục API'!K:K,"Điều chỉnh")</f>
      </c>
      <c r="C25" s="7"/>
      <c r="D25" s="7"/>
      <c r="E25" s="7"/>
      <c r="F25" s="7"/>
      <c r="G25" s="11" t="s">
        <v>40</v>
      </c>
    </row>
    <row r="26" spans="1:7" x14ac:dyDescent="0.25">
      <c r="A26" s="7" t="s">
        <v>1345</v>
      </c>
      <c r="B26" s="59">
        <f>COUNTIFS('Danh mục API'!O:O,"Tuấn",'Danh mục API'!K:K,"Có sẵn")</f>
      </c>
      <c r="C26" s="7"/>
      <c r="D26" s="7"/>
      <c r="E26" s="7"/>
      <c r="F26" s="7"/>
      <c r="G26" s="11" t="s">
        <v>40</v>
      </c>
    </row>
    <row r="27" spans="1:7" x14ac:dyDescent="0.25">
      <c r="A27" s="7" t="s">
        <v>1346</v>
      </c>
      <c r="B27" s="59">
        <f>COUNTIF('Danh mục API'!B:B,"API-*")</f>
      </c>
      <c r="C27" s="7"/>
      <c r="D27" s="7"/>
      <c r="E27" s="7"/>
      <c r="F27" s="7"/>
      <c r="G27" s="11" t="s">
        <v>40</v>
      </c>
    </row>
    <row r="28" spans="1:7" x14ac:dyDescent="0.25">
      <c r="A28" s="7" t="s">
        <v>1347</v>
      </c>
      <c r="B28" s="9">
        <f>$C$6/$C$11</f>
      </c>
      <c r="C28" s="7"/>
      <c r="D28" s="7"/>
      <c r="E28" s="7"/>
      <c r="F28" s="7"/>
      <c r="G28" s="11" t="s">
        <v>1348</v>
      </c>
    </row>
    <row r="29" spans="1:7" x14ac:dyDescent="0.25">
      <c r="A29" s="7" t="s">
        <v>1349</v>
      </c>
      <c r="B29" s="9">
        <f>$D$6/$D$11</f>
      </c>
      <c r="C29" s="7"/>
      <c r="D29" s="7"/>
      <c r="E29" s="7"/>
      <c r="F29" s="7"/>
      <c r="G29" s="11" t="s">
        <v>40</v>
      </c>
    </row>
    <row r="30" spans="1:7" x14ac:dyDescent="0.25">
      <c r="A30" s="7" t="s">
        <v>1350</v>
      </c>
      <c r="B30" s="58">
        <f>$C$6*$E$11</f>
      </c>
      <c r="C30" s="7"/>
      <c r="D30" s="7"/>
      <c r="E30" s="7"/>
      <c r="F30" s="7"/>
      <c r="G30" s="11" t="s">
        <v>1351</v>
      </c>
    </row>
    <row r="33" spans="1:1" x14ac:dyDescent="0.25">
      <c r="A33" s="5" t="s">
        <v>1352</v>
      </c>
    </row>
    <row r="34" spans="1:7" x14ac:dyDescent="0.25">
      <c r="A34" t="s">
        <v>1353</v>
      </c>
      <c r="B34" s="60">
        <v>0.15</v>
      </c>
      <c r="G34" t="s">
        <v>1354</v>
      </c>
    </row>
    <row r="35" spans="1:2" x14ac:dyDescent="0.25">
      <c r="A35" t="s">
        <v>1355</v>
      </c>
      <c r="B35" s="61">
        <v>200</v>
      </c>
    </row>
    <row r="36" spans="1:2" x14ac:dyDescent="0.25">
      <c r="A36" t="s">
        <v>1356</v>
      </c>
      <c r="B36" s="29">
        <f>$C$6*(1+$B$34)</f>
      </c>
    </row>
    <row r="38" ht="32" customHeight="1" spans="1:7" x14ac:dyDescent="0.25">
      <c r="A38" s="6" t="s">
        <v>1357</v>
      </c>
      <c r="B38" s="6" t="s">
        <v>1358</v>
      </c>
      <c r="C38" s="6" t="s">
        <v>1359</v>
      </c>
      <c r="D38" s="6" t="s">
        <v>1360</v>
      </c>
      <c r="E38" s="6" t="s">
        <v>1361</v>
      </c>
      <c r="F38" s="6" t="s">
        <v>1362</v>
      </c>
      <c r="G38" s="6" t="s">
        <v>1363</v>
      </c>
    </row>
    <row r="39" spans="1:7" x14ac:dyDescent="0.25">
      <c r="A39" s="11" t="s">
        <v>1364</v>
      </c>
      <c r="B39" s="8">
        <f>MIN($E$7:$E$10)</f>
      </c>
      <c r="C39" s="58">
        <f>B39*$B$36</f>
      </c>
      <c r="D39" s="58">
        <f>$D$11+C39</f>
      </c>
      <c r="E39" s="58">
        <f>D39-$B$35</f>
      </c>
      <c r="F39" s="30">
        <f>IF(D39&gt;$B$35,"TRÊN "&amp;FIXED($B$35,0)&amp;" triệu","Dưới ngưỡng")</f>
      </c>
      <c r="G39" s="11" t="s">
        <v>1365</v>
      </c>
    </row>
    <row r="40" spans="1:7" x14ac:dyDescent="0.25">
      <c r="A40" s="11" t="s">
        <v>1366</v>
      </c>
      <c r="B40" s="8">
        <f>$E$11</f>
      </c>
      <c r="C40" s="58">
        <f>B40*$B$36</f>
      </c>
      <c r="D40" s="58">
        <f>$D$11+C40</f>
      </c>
      <c r="E40" s="58">
        <f>D40-$B$35</f>
      </c>
      <c r="F40" s="30">
        <f>IF(D40&gt;$B$35,"TRÊN "&amp;FIXED($B$35,0)&amp;" triệu","Dưới ngưỡng")</f>
      </c>
      <c r="G40" s="11" t="s">
        <v>1367</v>
      </c>
    </row>
    <row r="41" spans="1:7" x14ac:dyDescent="0.25">
      <c r="A41" s="11" t="s">
        <v>1368</v>
      </c>
      <c r="B41" s="8">
        <f>$E$7</f>
      </c>
      <c r="C41" s="58">
        <f>B41*$B$36</f>
      </c>
      <c r="D41" s="58">
        <f>$D$11+C41</f>
      </c>
      <c r="E41" s="58">
        <f>D41-$B$35</f>
      </c>
      <c r="F41" s="30">
        <f>IF(D41&gt;$B$35,"TRÊN "&amp;FIXED($B$35,0)&amp;" triệu","Dưới ngưỡng")</f>
      </c>
      <c r="G41" s="11" t="s">
        <v>1367</v>
      </c>
    </row>
    <row r="42" spans="1:7" x14ac:dyDescent="0.25">
      <c r="A42" s="11" t="s">
        <v>1369</v>
      </c>
      <c r="B42" s="8">
        <f>$E$7</f>
      </c>
      <c r="C42" s="58">
        <f>B42*$B$36</f>
      </c>
      <c r="D42" s="58">
        <f>$D$11+C42</f>
      </c>
      <c r="E42" s="58">
        <f>D42-$B$35</f>
      </c>
      <c r="F42" s="30">
        <f>IF(D42&gt;$B$35,"TRÊN "&amp;FIXED($B$35,0)&amp;" triệu","Dưới ngưỡng")</f>
      </c>
      <c r="G42" s="11">
        <f>"Nam cần "&amp;FIXED($C$7+$B$36,1)&amp;" md trong 34 ngày khả dụng → không khả thi, kéo dài ≈ "&amp;FIXED($C$7+$B$36-34,0)&amp;" ngày làm việc"</f>
      </c>
    </row>
    <row r="44" spans="1:7" s="3" customFormat="1" x14ac:dyDescent="0.25">
      <c r="A44" s="12" t="s">
        <v>1370</v>
      </c>
      <c r="B44" s="13">
        <f>($B$35-$D$11)/$B$36</f>
      </c>
      <c r="C44" s="12"/>
      <c r="D44" s="12"/>
      <c r="E44" s="12"/>
      <c r="F44" s="12"/>
      <c r="G44" s="15">
        <f>"Chỉ cần người thay thế có đơn giá &gt; "&amp;FIXED(B44,2)&amp;" tr/md (thấp hơn mọi đơn giá trong team) là tổng chi phí đã vượt "&amp;FIXED($B$35,0)&amp;" triệu"</f>
      </c>
    </row>
    <row r="46" spans="1:1" x14ac:dyDescent="0.25">
      <c r="A46" s="5" t="s">
        <v>1371</v>
      </c>
    </row>
    <row r="47" ht="32" customHeight="1" spans="1:7" x14ac:dyDescent="0.25">
      <c r="A47" s="6" t="s">
        <v>1338</v>
      </c>
      <c r="B47" s="6" t="s">
        <v>1339</v>
      </c>
      <c r="C47" s="6" t="s">
        <v>40</v>
      </c>
      <c r="D47" s="6" t="s">
        <v>40</v>
      </c>
      <c r="E47" s="6" t="s">
        <v>40</v>
      </c>
      <c r="F47" s="6" t="s">
        <v>40</v>
      </c>
      <c r="G47" s="6" t="s">
        <v>1064</v>
      </c>
    </row>
    <row r="48" spans="1:7" x14ac:dyDescent="0.25">
      <c r="A48" s="7" t="s">
        <v>1372</v>
      </c>
      <c r="B48" s="59">
        <f>COUNTIF('Danh mục API'!K:K,"Có sẵn")+COUNTIF('Danh mục API'!K:K,"Điều chỉnh")</f>
      </c>
      <c r="C48" s="7"/>
      <c r="D48" s="7"/>
      <c r="E48" s="7"/>
      <c r="F48" s="7"/>
      <c r="G48" s="11" t="s">
        <v>40</v>
      </c>
    </row>
    <row r="49" spans="1:7" x14ac:dyDescent="0.25">
      <c r="A49" s="7" t="s">
        <v>1373</v>
      </c>
      <c r="B49" s="8">
        <f>AVERAGEIF('Danh mục API'!K:K,"Mới",'Danh mục API'!P:P)</f>
      </c>
      <c r="C49" s="7"/>
      <c r="D49" s="7"/>
      <c r="E49" s="7"/>
      <c r="F49" s="7"/>
      <c r="G49" s="11" t="s">
        <v>1374</v>
      </c>
    </row>
    <row r="50" spans="1:7" x14ac:dyDescent="0.25">
      <c r="A50" s="7" t="s">
        <v>1375</v>
      </c>
      <c r="B50" s="8">
        <f>B48*B49</f>
      </c>
      <c r="C50" s="7"/>
      <c r="D50" s="7"/>
      <c r="E50" s="7"/>
      <c r="F50" s="7"/>
      <c r="G50" s="11" t="s">
        <v>40</v>
      </c>
    </row>
    <row r="51" spans="1:7" x14ac:dyDescent="0.25">
      <c r="A51" s="7" t="s">
        <v>1376</v>
      </c>
      <c r="B51" s="8">
        <f>SUMIF('Danh mục API'!K:K,"Có sẵn",'Danh mục API'!P:P)+SUMIF('Danh mục API'!K:K,"Điều chỉnh",'Danh mục API'!P:P)</f>
      </c>
      <c r="C51" s="7"/>
      <c r="D51" s="7"/>
      <c r="E51" s="7"/>
      <c r="F51" s="7"/>
      <c r="G51" s="11" t="s">
        <v>40</v>
      </c>
    </row>
    <row r="52" spans="1:7" x14ac:dyDescent="0.25">
      <c r="A52" s="7" t="s">
        <v>1377</v>
      </c>
      <c r="B52" s="8">
        <f>B50-B51</f>
      </c>
      <c r="C52" s="7"/>
      <c r="D52" s="7"/>
      <c r="E52" s="7"/>
      <c r="F52" s="7"/>
      <c r="G52" s="11" t="s">
        <v>1378</v>
      </c>
    </row>
    <row r="53" spans="1:7" x14ac:dyDescent="0.25">
      <c r="A53" s="7" t="s">
        <v>1379</v>
      </c>
      <c r="B53" s="58">
        <f>B52*$B$39</f>
      </c>
      <c r="C53" s="7"/>
      <c r="D53" s="7"/>
      <c r="E53" s="7"/>
      <c r="F53" s="7"/>
      <c r="G53" s="11" t="s">
        <v>1380</v>
      </c>
    </row>
    <row r="55" spans="1:1" x14ac:dyDescent="0.25">
      <c r="A55" s="5" t="s">
        <v>1381</v>
      </c>
    </row>
    <row r="56" ht="32" customHeight="1" spans="1:7" x14ac:dyDescent="0.25">
      <c r="A56" s="4">
        <f>"• Ngân sách đề xuất: "&amp;FIXED($D$11,0)&amp;" triệu (Nam "&amp;FIXED($D$7,0)&amp;" · Khang "&amp;FIXED($D$8,0)&amp;" · Hằng "&amp;FIXED($D$9,0)&amp;" · Sơn "&amp;FIXED($D$10,0)&amp;"), Tuấn 0 đồng."</f>
      </c>
      <c r="B56" s="4"/>
      <c r="C56" s="4"/>
      <c r="D56" s="4"/>
      <c r="E56" s="4"/>
      <c r="F56" s="4"/>
      <c r="G56" s="4"/>
    </row>
    <row r="57" ht="32" customHeight="1" spans="1:7" x14ac:dyDescent="0.25">
      <c r="A57" s="4">
        <f>"• Tuấn gánh "&amp;FIXED($C$6,1)&amp;" ngày công = "&amp;TEXT($C$6/$C$11,"0%")&amp;" công toàn dự án, phụ trách "&amp;FIXED($B$23,0)&amp;"/"&amp;FIXED($B$27,0)&amp;" API ("&amp;FIXED($B$24,0)&amp;" API viết mới), cùng kiến trúc, JWT, logging, phân tích nghiệp vụ, SIT/UAT và tài liệu."</f>
      </c>
      <c r="B57" s="4"/>
      <c r="C57" s="4"/>
      <c r="D57" s="4"/>
      <c r="E57" s="4"/>
      <c r="F57" s="4"/>
      <c r="G57" s="4"/>
    </row>
    <row r="58" ht="32" customHeight="1" spans="1:7" x14ac:dyDescent="0.25">
      <c r="A58" s="4">
        <f>"• Nếu không có Tuấn, chi phí tối thiểu (PA1) là "&amp;FIXED($D$39,1)&amp;" triệu, PA2 "&amp;FIXED($D$40,1)&amp;" triệu, PA3 "&amp;FIXED($D$41,1)&amp;" triệu – đều trên "&amp;FIXED($B$35,0)&amp;" triệu."</f>
      </c>
      <c r="B58" s="4"/>
      <c r="C58" s="4"/>
      <c r="D58" s="4"/>
      <c r="E58" s="4"/>
      <c r="F58" s="4"/>
      <c r="G58" s="4"/>
    </row>
    <row r="59" ht="32" customHeight="1" spans="1:7" x14ac:dyDescent="0.25">
      <c r="A59" s="4">
        <f>"• Mức hòa vốn chỉ "&amp;FIXED($B$44,2)&amp;" tr/md: bất kỳ phương án thay thế nào cũng làm chi phí vượt "&amp;FIXED($B$35,0)&amp;" triệu; PA4 (dồn cho Nam) thì không kịp tiến độ."</f>
      </c>
      <c r="B59" s="4"/>
      <c r="C59" s="4"/>
      <c r="D59" s="4"/>
      <c r="E59" s="4"/>
      <c r="F59" s="4"/>
      <c r="G59" s="4"/>
    </row>
  </sheetData>
  <mergeCells count="4">
    <mergeCell ref="A56:G56"/>
    <mergeCell ref="A57:G57"/>
    <mergeCell ref="A58:G58"/>
    <mergeCell ref="A59:G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Tổng quan</vt:lpstr>
      <vt:lpstr>Danh mục API</vt:lpstr>
      <vt:lpstr>WBS chi tiết</vt:lpstr>
      <vt:lpstr>Gantt</vt:lpstr>
      <vt:lpstr>Nguồn lực theo tuần</vt:lpstr>
      <vt:lpstr>RACI theo SOW</vt:lpstr>
      <vt:lpstr>Kế hoạch test</vt:lpstr>
      <vt:lpstr>Logging &amp; Bảo mật</vt:lpstr>
      <vt:lpstr>Tài liệu bàn giao</vt:lpstr>
      <vt:lpstr>Rủi ro &amp; Open point</vt:lpstr>
      <vt:lpstr>Chi phí &amp; Đóng góp Tuấn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RDM-SAP project</dc:creator>
  <dc:title/>
  <dc:subject/>
  <dc:description/>
  <cp:keywords/>
  <cp:category/>
  <cp:lastModifiedBy>Unknown</cp:lastModifiedBy>
  <dcterms:created xsi:type="dcterms:W3CDTF">2026-10-28T04:53:08Z</dcterms:created>
  <dcterms:modified xsi:type="dcterms:W3CDTF">2026-10-28T04:53:08Z</dcterms:modified>
</cp:coreProperties>
</file>